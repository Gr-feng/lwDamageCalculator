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showInkAnnotation="0" defaultThemeVersion="166925"/>
  <xr:revisionPtr revIDLastSave="0" documentId="8_{AFB42102-EB20-B04D-AF43-629A49610A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日擂台" sheetId="1" r:id="rId1"/>
    <sheet name="周擂台1" sheetId="2" r:id="rId2"/>
    <sheet name="周擂台2" sheetId="3" r:id="rId3"/>
    <sheet name="Sheet1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M17" i="2"/>
  <c r="M15" i="2"/>
  <c r="L16" i="2"/>
  <c r="L17" i="2"/>
  <c r="L15" i="2"/>
  <c r="K16" i="2"/>
  <c r="K17" i="2"/>
  <c r="K15" i="2"/>
  <c r="L35" i="1"/>
  <c r="C12" i="3"/>
  <c r="C12" i="2"/>
  <c r="C12" i="1"/>
  <c r="F1142" i="3"/>
  <c r="F1141" i="3"/>
  <c r="D1141" i="3"/>
  <c r="F1140" i="3"/>
  <c r="D1140" i="3"/>
  <c r="F1137" i="3"/>
  <c r="F1136" i="3"/>
  <c r="D1136" i="3"/>
  <c r="F1135" i="3"/>
  <c r="D1135" i="3"/>
  <c r="F1132" i="3"/>
  <c r="F1131" i="3"/>
  <c r="D1131" i="3"/>
  <c r="F1130" i="3"/>
  <c r="D1130" i="3"/>
  <c r="F1127" i="3"/>
  <c r="F1126" i="3"/>
  <c r="D1126" i="3"/>
  <c r="F1125" i="3"/>
  <c r="D1125" i="3"/>
  <c r="F1122" i="3"/>
  <c r="F1121" i="3"/>
  <c r="D1121" i="3"/>
  <c r="F1120" i="3"/>
  <c r="D1120" i="3"/>
  <c r="F1117" i="3"/>
  <c r="F1116" i="3"/>
  <c r="D1116" i="3"/>
  <c r="F1115" i="3"/>
  <c r="D1115" i="3"/>
  <c r="F1112" i="3"/>
  <c r="F1111" i="3"/>
  <c r="D1111" i="3"/>
  <c r="F1110" i="3"/>
  <c r="D1110" i="3"/>
  <c r="F1107" i="3"/>
  <c r="F1106" i="3"/>
  <c r="D1106" i="3"/>
  <c r="F1105" i="3"/>
  <c r="D1105" i="3"/>
  <c r="F1102" i="3"/>
  <c r="F1101" i="3"/>
  <c r="D1101" i="3"/>
  <c r="F1100" i="3"/>
  <c r="D1100" i="3"/>
  <c r="F1097" i="3"/>
  <c r="F1096" i="3"/>
  <c r="D1096" i="3"/>
  <c r="F1095" i="3"/>
  <c r="D1095" i="3"/>
  <c r="F1092" i="3"/>
  <c r="F1091" i="3"/>
  <c r="D1091" i="3"/>
  <c r="F1090" i="3"/>
  <c r="D1090" i="3"/>
  <c r="F1087" i="3"/>
  <c r="F1086" i="3"/>
  <c r="D1086" i="3"/>
  <c r="F1085" i="3"/>
  <c r="D1085" i="3"/>
  <c r="F1082" i="3"/>
  <c r="F1081" i="3"/>
  <c r="D1081" i="3"/>
  <c r="F1080" i="3"/>
  <c r="D1080" i="3"/>
  <c r="F1077" i="3"/>
  <c r="F1076" i="3"/>
  <c r="D1076" i="3"/>
  <c r="F1075" i="3"/>
  <c r="D1075" i="3"/>
  <c r="F1072" i="3"/>
  <c r="F1071" i="3"/>
  <c r="D1071" i="3"/>
  <c r="F1070" i="3"/>
  <c r="D1070" i="3"/>
  <c r="F1067" i="3"/>
  <c r="F1066" i="3"/>
  <c r="D1066" i="3"/>
  <c r="F1065" i="3"/>
  <c r="D1065" i="3"/>
  <c r="F1062" i="3"/>
  <c r="F1061" i="3"/>
  <c r="D1061" i="3"/>
  <c r="F1060" i="3"/>
  <c r="D1060" i="3"/>
  <c r="F1057" i="3"/>
  <c r="F1056" i="3"/>
  <c r="D1056" i="3"/>
  <c r="F1055" i="3"/>
  <c r="D1055" i="3"/>
  <c r="F1052" i="3"/>
  <c r="F1051" i="3"/>
  <c r="D1051" i="3"/>
  <c r="F1050" i="3"/>
  <c r="D1050" i="3"/>
  <c r="F1047" i="3"/>
  <c r="F1046" i="3"/>
  <c r="D1046" i="3"/>
  <c r="F1045" i="3"/>
  <c r="D1045" i="3"/>
  <c r="F1042" i="3"/>
  <c r="F1041" i="3"/>
  <c r="D1041" i="3"/>
  <c r="F1040" i="3"/>
  <c r="D1040" i="3"/>
  <c r="F1037" i="3"/>
  <c r="F1036" i="3"/>
  <c r="D1036" i="3"/>
  <c r="F1035" i="3"/>
  <c r="D1035" i="3"/>
  <c r="F1032" i="3"/>
  <c r="F1031" i="3"/>
  <c r="D1031" i="3"/>
  <c r="F1030" i="3"/>
  <c r="D1030" i="3"/>
  <c r="F1027" i="3"/>
  <c r="F1026" i="3"/>
  <c r="D1026" i="3"/>
  <c r="F1025" i="3"/>
  <c r="D1025" i="3"/>
  <c r="F1022" i="3"/>
  <c r="F1021" i="3"/>
  <c r="D1021" i="3"/>
  <c r="F1020" i="3"/>
  <c r="D1020" i="3"/>
  <c r="F1017" i="3"/>
  <c r="F1016" i="3"/>
  <c r="D1016" i="3"/>
  <c r="F1015" i="3"/>
  <c r="D1015" i="3"/>
  <c r="F1012" i="3"/>
  <c r="F1011" i="3"/>
  <c r="D1011" i="3"/>
  <c r="F1010" i="3"/>
  <c r="D1010" i="3"/>
  <c r="F1007" i="3"/>
  <c r="F1006" i="3"/>
  <c r="D1006" i="3"/>
  <c r="F1005" i="3"/>
  <c r="D1005" i="3"/>
  <c r="F1002" i="3"/>
  <c r="F1001" i="3"/>
  <c r="D1001" i="3"/>
  <c r="F1000" i="3"/>
  <c r="D1000" i="3"/>
  <c r="F997" i="3"/>
  <c r="F996" i="3"/>
  <c r="D996" i="3"/>
  <c r="F995" i="3"/>
  <c r="D995" i="3"/>
  <c r="F992" i="3"/>
  <c r="F991" i="3"/>
  <c r="D991" i="3"/>
  <c r="F990" i="3"/>
  <c r="D990" i="3"/>
  <c r="F987" i="3"/>
  <c r="F986" i="3"/>
  <c r="D986" i="3"/>
  <c r="F985" i="3"/>
  <c r="D985" i="3"/>
  <c r="F982" i="3"/>
  <c r="F981" i="3"/>
  <c r="D981" i="3"/>
  <c r="F980" i="3"/>
  <c r="D980" i="3"/>
  <c r="F977" i="3"/>
  <c r="F976" i="3"/>
  <c r="D976" i="3"/>
  <c r="F975" i="3"/>
  <c r="D975" i="3"/>
  <c r="F972" i="3"/>
  <c r="F971" i="3"/>
  <c r="D971" i="3"/>
  <c r="F970" i="3"/>
  <c r="D970" i="3"/>
  <c r="F967" i="3"/>
  <c r="F966" i="3"/>
  <c r="D966" i="3"/>
  <c r="F965" i="3"/>
  <c r="D965" i="3"/>
  <c r="F962" i="3"/>
  <c r="F961" i="3"/>
  <c r="D961" i="3"/>
  <c r="F960" i="3"/>
  <c r="D960" i="3"/>
  <c r="F957" i="3"/>
  <c r="F956" i="3"/>
  <c r="D956" i="3"/>
  <c r="F955" i="3"/>
  <c r="D955" i="3"/>
  <c r="F952" i="3"/>
  <c r="F951" i="3"/>
  <c r="D951" i="3"/>
  <c r="F950" i="3"/>
  <c r="D950" i="3"/>
  <c r="F947" i="3"/>
  <c r="F946" i="3"/>
  <c r="D946" i="3"/>
  <c r="F945" i="3"/>
  <c r="D945" i="3"/>
  <c r="F942" i="3"/>
  <c r="F941" i="3"/>
  <c r="D941" i="3"/>
  <c r="F940" i="3"/>
  <c r="D940" i="3"/>
  <c r="F937" i="3"/>
  <c r="F936" i="3"/>
  <c r="D936" i="3"/>
  <c r="F935" i="3"/>
  <c r="D935" i="3"/>
  <c r="F932" i="3"/>
  <c r="F931" i="3"/>
  <c r="D931" i="3"/>
  <c r="F930" i="3"/>
  <c r="D930" i="3"/>
  <c r="F927" i="3"/>
  <c r="F926" i="3"/>
  <c r="D926" i="3"/>
  <c r="F925" i="3"/>
  <c r="D925" i="3"/>
  <c r="F922" i="3"/>
  <c r="F921" i="3"/>
  <c r="D921" i="3"/>
  <c r="F920" i="3"/>
  <c r="D920" i="3"/>
  <c r="F917" i="3"/>
  <c r="F916" i="3"/>
  <c r="D916" i="3"/>
  <c r="F915" i="3"/>
  <c r="D915" i="3"/>
  <c r="F912" i="3"/>
  <c r="F911" i="3"/>
  <c r="D911" i="3"/>
  <c r="F910" i="3"/>
  <c r="D910" i="3"/>
  <c r="F907" i="3"/>
  <c r="F906" i="3"/>
  <c r="D906" i="3"/>
  <c r="F905" i="3"/>
  <c r="D905" i="3"/>
  <c r="F902" i="3"/>
  <c r="F901" i="3"/>
  <c r="D901" i="3"/>
  <c r="F900" i="3"/>
  <c r="D900" i="3"/>
  <c r="F897" i="3"/>
  <c r="F896" i="3"/>
  <c r="D896" i="3"/>
  <c r="F895" i="3"/>
  <c r="D895" i="3"/>
  <c r="F892" i="3"/>
  <c r="F891" i="3"/>
  <c r="D891" i="3"/>
  <c r="F890" i="3"/>
  <c r="D890" i="3"/>
  <c r="F887" i="3"/>
  <c r="F886" i="3"/>
  <c r="D886" i="3"/>
  <c r="F885" i="3"/>
  <c r="D885" i="3"/>
  <c r="F882" i="3"/>
  <c r="F881" i="3"/>
  <c r="D881" i="3"/>
  <c r="F880" i="3"/>
  <c r="D880" i="3"/>
  <c r="F877" i="3"/>
  <c r="F876" i="3"/>
  <c r="D876" i="3"/>
  <c r="F875" i="3"/>
  <c r="D875" i="3"/>
  <c r="F872" i="3"/>
  <c r="F871" i="3"/>
  <c r="D871" i="3"/>
  <c r="F870" i="3"/>
  <c r="D870" i="3"/>
  <c r="F867" i="3"/>
  <c r="F866" i="3"/>
  <c r="D866" i="3"/>
  <c r="F865" i="3"/>
  <c r="D865" i="3"/>
  <c r="F862" i="3"/>
  <c r="F861" i="3"/>
  <c r="D861" i="3"/>
  <c r="F860" i="3"/>
  <c r="D860" i="3"/>
  <c r="F857" i="3"/>
  <c r="F856" i="3"/>
  <c r="D856" i="3"/>
  <c r="F855" i="3"/>
  <c r="D855" i="3"/>
  <c r="F852" i="3"/>
  <c r="F851" i="3"/>
  <c r="D851" i="3"/>
  <c r="F850" i="3"/>
  <c r="D850" i="3"/>
  <c r="F847" i="3"/>
  <c r="F846" i="3"/>
  <c r="D846" i="3"/>
  <c r="F845" i="3"/>
  <c r="D845" i="3"/>
  <c r="F842" i="3"/>
  <c r="F841" i="3"/>
  <c r="D841" i="3"/>
  <c r="F840" i="3"/>
  <c r="D840" i="3"/>
  <c r="F837" i="3"/>
  <c r="F836" i="3"/>
  <c r="D836" i="3"/>
  <c r="F835" i="3"/>
  <c r="D835" i="3"/>
  <c r="F832" i="3"/>
  <c r="F831" i="3"/>
  <c r="D831" i="3"/>
  <c r="F830" i="3"/>
  <c r="D830" i="3"/>
  <c r="F827" i="3"/>
  <c r="F826" i="3"/>
  <c r="D826" i="3"/>
  <c r="F825" i="3"/>
  <c r="D825" i="3"/>
  <c r="F822" i="3"/>
  <c r="F821" i="3"/>
  <c r="D821" i="3"/>
  <c r="F820" i="3"/>
  <c r="D820" i="3"/>
  <c r="F817" i="3"/>
  <c r="F816" i="3"/>
  <c r="D816" i="3"/>
  <c r="F815" i="3"/>
  <c r="D815" i="3"/>
  <c r="F812" i="3"/>
  <c r="F811" i="3"/>
  <c r="D811" i="3"/>
  <c r="F810" i="3"/>
  <c r="D810" i="3"/>
  <c r="F807" i="3"/>
  <c r="F806" i="3"/>
  <c r="D806" i="3"/>
  <c r="F805" i="3"/>
  <c r="D805" i="3"/>
  <c r="F802" i="3"/>
  <c r="F801" i="3"/>
  <c r="D801" i="3"/>
  <c r="F800" i="3"/>
  <c r="D800" i="3"/>
  <c r="F797" i="3"/>
  <c r="F796" i="3"/>
  <c r="D796" i="3"/>
  <c r="F795" i="3"/>
  <c r="D795" i="3"/>
  <c r="F792" i="3"/>
  <c r="F791" i="3"/>
  <c r="D791" i="3"/>
  <c r="F790" i="3"/>
  <c r="D790" i="3"/>
  <c r="F787" i="3"/>
  <c r="F786" i="3"/>
  <c r="D786" i="3"/>
  <c r="F785" i="3"/>
  <c r="D785" i="3"/>
  <c r="F782" i="3"/>
  <c r="F781" i="3"/>
  <c r="D781" i="3"/>
  <c r="F780" i="3"/>
  <c r="D780" i="3"/>
  <c r="F777" i="3"/>
  <c r="F776" i="3"/>
  <c r="D776" i="3"/>
  <c r="F775" i="3"/>
  <c r="D775" i="3"/>
  <c r="F772" i="3"/>
  <c r="F771" i="3"/>
  <c r="D771" i="3"/>
  <c r="F770" i="3"/>
  <c r="D770" i="3"/>
  <c r="F767" i="3"/>
  <c r="F766" i="3"/>
  <c r="D766" i="3"/>
  <c r="F765" i="3"/>
  <c r="D765" i="3"/>
  <c r="F762" i="3"/>
  <c r="F761" i="3"/>
  <c r="D761" i="3"/>
  <c r="F760" i="3"/>
  <c r="D760" i="3"/>
  <c r="F757" i="3"/>
  <c r="F756" i="3"/>
  <c r="D756" i="3"/>
  <c r="F755" i="3"/>
  <c r="D755" i="3"/>
  <c r="F752" i="3"/>
  <c r="F751" i="3"/>
  <c r="D751" i="3"/>
  <c r="F750" i="3"/>
  <c r="D750" i="3"/>
  <c r="F747" i="3"/>
  <c r="F746" i="3"/>
  <c r="D746" i="3"/>
  <c r="F745" i="3"/>
  <c r="D745" i="3"/>
  <c r="F742" i="3"/>
  <c r="F741" i="3"/>
  <c r="D741" i="3"/>
  <c r="F740" i="3"/>
  <c r="D740" i="3"/>
  <c r="F737" i="3"/>
  <c r="F736" i="3"/>
  <c r="D736" i="3"/>
  <c r="F735" i="3"/>
  <c r="D735" i="3"/>
  <c r="F732" i="3"/>
  <c r="F731" i="3"/>
  <c r="D731" i="3"/>
  <c r="F730" i="3"/>
  <c r="D730" i="3"/>
  <c r="F727" i="3"/>
  <c r="F726" i="3"/>
  <c r="D726" i="3"/>
  <c r="F725" i="3"/>
  <c r="D725" i="3"/>
  <c r="F722" i="3"/>
  <c r="F721" i="3"/>
  <c r="D721" i="3"/>
  <c r="F720" i="3"/>
  <c r="D720" i="3"/>
  <c r="F717" i="3"/>
  <c r="F716" i="3"/>
  <c r="D716" i="3"/>
  <c r="F715" i="3"/>
  <c r="D715" i="3"/>
  <c r="F712" i="3"/>
  <c r="F711" i="3"/>
  <c r="D711" i="3"/>
  <c r="F710" i="3"/>
  <c r="D710" i="3"/>
  <c r="F707" i="3"/>
  <c r="F706" i="3"/>
  <c r="D706" i="3"/>
  <c r="F705" i="3"/>
  <c r="D705" i="3"/>
  <c r="F702" i="3"/>
  <c r="F701" i="3"/>
  <c r="D701" i="3"/>
  <c r="F700" i="3"/>
  <c r="D700" i="3"/>
  <c r="F697" i="3"/>
  <c r="F696" i="3"/>
  <c r="D696" i="3"/>
  <c r="F695" i="3"/>
  <c r="D695" i="3"/>
  <c r="F692" i="3"/>
  <c r="F691" i="3"/>
  <c r="D691" i="3"/>
  <c r="F690" i="3"/>
  <c r="D690" i="3"/>
  <c r="F687" i="3"/>
  <c r="F686" i="3"/>
  <c r="D686" i="3"/>
  <c r="F685" i="3"/>
  <c r="D685" i="3"/>
  <c r="F682" i="3"/>
  <c r="F681" i="3"/>
  <c r="D681" i="3"/>
  <c r="F680" i="3"/>
  <c r="D680" i="3"/>
  <c r="F677" i="3"/>
  <c r="F676" i="3"/>
  <c r="D676" i="3"/>
  <c r="F675" i="3"/>
  <c r="D675" i="3"/>
  <c r="F672" i="3"/>
  <c r="F671" i="3"/>
  <c r="D671" i="3"/>
  <c r="F670" i="3"/>
  <c r="D670" i="3"/>
  <c r="F667" i="3"/>
  <c r="F666" i="3"/>
  <c r="D666" i="3"/>
  <c r="F665" i="3"/>
  <c r="D665" i="3"/>
  <c r="F662" i="3"/>
  <c r="F661" i="3"/>
  <c r="D661" i="3"/>
  <c r="F660" i="3"/>
  <c r="D660" i="3"/>
  <c r="F657" i="3"/>
  <c r="F656" i="3"/>
  <c r="D656" i="3"/>
  <c r="F655" i="3"/>
  <c r="D655" i="3"/>
  <c r="F652" i="3"/>
  <c r="F651" i="3"/>
  <c r="D651" i="3"/>
  <c r="F650" i="3"/>
  <c r="D650" i="3"/>
  <c r="F647" i="3"/>
  <c r="F646" i="3"/>
  <c r="D646" i="3"/>
  <c r="F645" i="3"/>
  <c r="D645" i="3"/>
  <c r="F642" i="3"/>
  <c r="F641" i="3"/>
  <c r="D641" i="3"/>
  <c r="F640" i="3"/>
  <c r="D640" i="3"/>
  <c r="F637" i="3"/>
  <c r="F636" i="3"/>
  <c r="D636" i="3"/>
  <c r="F635" i="3"/>
  <c r="D635" i="3"/>
  <c r="F632" i="3"/>
  <c r="F631" i="3"/>
  <c r="D631" i="3"/>
  <c r="F630" i="3"/>
  <c r="D630" i="3"/>
  <c r="F627" i="3"/>
  <c r="F626" i="3"/>
  <c r="D626" i="3"/>
  <c r="F625" i="3"/>
  <c r="D625" i="3"/>
  <c r="F622" i="3"/>
  <c r="F621" i="3"/>
  <c r="D621" i="3"/>
  <c r="F620" i="3"/>
  <c r="D620" i="3"/>
  <c r="F617" i="3"/>
  <c r="F616" i="3"/>
  <c r="D616" i="3"/>
  <c r="F615" i="3"/>
  <c r="D615" i="3"/>
  <c r="F612" i="3"/>
  <c r="F611" i="3"/>
  <c r="D611" i="3"/>
  <c r="F610" i="3"/>
  <c r="D610" i="3"/>
  <c r="F607" i="3"/>
  <c r="F606" i="3"/>
  <c r="D606" i="3"/>
  <c r="F605" i="3"/>
  <c r="D605" i="3"/>
  <c r="F602" i="3"/>
  <c r="F601" i="3"/>
  <c r="D601" i="3"/>
  <c r="F600" i="3"/>
  <c r="D600" i="3"/>
  <c r="F597" i="3"/>
  <c r="F596" i="3"/>
  <c r="D596" i="3"/>
  <c r="F595" i="3"/>
  <c r="D595" i="3"/>
  <c r="F592" i="3"/>
  <c r="F591" i="3"/>
  <c r="D591" i="3"/>
  <c r="F590" i="3"/>
  <c r="D590" i="3"/>
  <c r="F587" i="3"/>
  <c r="F586" i="3"/>
  <c r="D586" i="3"/>
  <c r="F585" i="3"/>
  <c r="D585" i="3"/>
  <c r="F582" i="3"/>
  <c r="F581" i="3"/>
  <c r="D581" i="3"/>
  <c r="F580" i="3"/>
  <c r="D580" i="3"/>
  <c r="F577" i="3"/>
  <c r="F576" i="3"/>
  <c r="D576" i="3"/>
  <c r="F575" i="3"/>
  <c r="D575" i="3"/>
  <c r="F572" i="3"/>
  <c r="F571" i="3"/>
  <c r="D571" i="3"/>
  <c r="F570" i="3"/>
  <c r="D570" i="3"/>
  <c r="F567" i="3"/>
  <c r="F566" i="3"/>
  <c r="D566" i="3"/>
  <c r="F565" i="3"/>
  <c r="D565" i="3"/>
  <c r="F562" i="3"/>
  <c r="F561" i="3"/>
  <c r="D561" i="3"/>
  <c r="F560" i="3"/>
  <c r="D560" i="3"/>
  <c r="F557" i="3"/>
  <c r="F556" i="3"/>
  <c r="D556" i="3"/>
  <c r="F555" i="3"/>
  <c r="D555" i="3"/>
  <c r="F552" i="3"/>
  <c r="F551" i="3"/>
  <c r="D551" i="3"/>
  <c r="F550" i="3"/>
  <c r="D550" i="3"/>
  <c r="F547" i="3"/>
  <c r="F546" i="3"/>
  <c r="D546" i="3"/>
  <c r="F545" i="3"/>
  <c r="D545" i="3"/>
  <c r="F542" i="3"/>
  <c r="F541" i="3"/>
  <c r="D541" i="3"/>
  <c r="F540" i="3"/>
  <c r="D540" i="3"/>
  <c r="F537" i="3"/>
  <c r="F536" i="3"/>
  <c r="D536" i="3"/>
  <c r="F535" i="3"/>
  <c r="D535" i="3"/>
  <c r="F532" i="3"/>
  <c r="F531" i="3"/>
  <c r="D531" i="3"/>
  <c r="F530" i="3"/>
  <c r="D530" i="3"/>
  <c r="F527" i="3"/>
  <c r="F526" i="3"/>
  <c r="D526" i="3"/>
  <c r="F525" i="3"/>
  <c r="D525" i="3"/>
  <c r="F522" i="3"/>
  <c r="F521" i="3"/>
  <c r="D521" i="3"/>
  <c r="F520" i="3"/>
  <c r="D520" i="3"/>
  <c r="F517" i="3"/>
  <c r="F516" i="3"/>
  <c r="D516" i="3"/>
  <c r="F515" i="3"/>
  <c r="D515" i="3"/>
  <c r="F512" i="3"/>
  <c r="F511" i="3"/>
  <c r="D511" i="3"/>
  <c r="F510" i="3"/>
  <c r="D510" i="3"/>
  <c r="F507" i="3"/>
  <c r="F506" i="3"/>
  <c r="D506" i="3"/>
  <c r="F505" i="3"/>
  <c r="D505" i="3"/>
  <c r="F502" i="3"/>
  <c r="F501" i="3"/>
  <c r="D501" i="3"/>
  <c r="F500" i="3"/>
  <c r="D500" i="3"/>
  <c r="F497" i="3"/>
  <c r="F496" i="3"/>
  <c r="D496" i="3"/>
  <c r="F495" i="3"/>
  <c r="D495" i="3"/>
  <c r="F492" i="3"/>
  <c r="F491" i="3"/>
  <c r="D491" i="3"/>
  <c r="F490" i="3"/>
  <c r="D490" i="3"/>
  <c r="F487" i="3"/>
  <c r="F486" i="3"/>
  <c r="D486" i="3"/>
  <c r="F485" i="3"/>
  <c r="D485" i="3"/>
  <c r="F482" i="3"/>
  <c r="F481" i="3"/>
  <c r="D481" i="3"/>
  <c r="F480" i="3"/>
  <c r="D480" i="3"/>
  <c r="F477" i="3"/>
  <c r="F476" i="3"/>
  <c r="D476" i="3"/>
  <c r="F475" i="3"/>
  <c r="D475" i="3"/>
  <c r="F472" i="3"/>
  <c r="F471" i="3"/>
  <c r="D471" i="3"/>
  <c r="F470" i="3"/>
  <c r="D470" i="3"/>
  <c r="F467" i="3"/>
  <c r="F466" i="3"/>
  <c r="D466" i="3"/>
  <c r="F465" i="3"/>
  <c r="D465" i="3"/>
  <c r="F462" i="3"/>
  <c r="F461" i="3"/>
  <c r="D461" i="3"/>
  <c r="F460" i="3"/>
  <c r="D460" i="3"/>
  <c r="F457" i="3"/>
  <c r="F456" i="3"/>
  <c r="D456" i="3"/>
  <c r="F455" i="3"/>
  <c r="D455" i="3"/>
  <c r="F452" i="3"/>
  <c r="F451" i="3"/>
  <c r="D451" i="3"/>
  <c r="F450" i="3"/>
  <c r="D450" i="3"/>
  <c r="F447" i="3"/>
  <c r="F446" i="3"/>
  <c r="D446" i="3"/>
  <c r="F445" i="3"/>
  <c r="D445" i="3"/>
  <c r="F442" i="3"/>
  <c r="F441" i="3"/>
  <c r="D441" i="3"/>
  <c r="F440" i="3"/>
  <c r="D440" i="3"/>
  <c r="F437" i="3"/>
  <c r="F436" i="3"/>
  <c r="D436" i="3"/>
  <c r="F435" i="3"/>
  <c r="D435" i="3"/>
  <c r="F432" i="3"/>
  <c r="F431" i="3"/>
  <c r="D431" i="3"/>
  <c r="F430" i="3"/>
  <c r="D430" i="3"/>
  <c r="F427" i="3"/>
  <c r="F426" i="3"/>
  <c r="D426" i="3"/>
  <c r="F425" i="3"/>
  <c r="D425" i="3"/>
  <c r="F422" i="3"/>
  <c r="F421" i="3"/>
  <c r="D421" i="3"/>
  <c r="F420" i="3"/>
  <c r="D420" i="3"/>
  <c r="F417" i="3"/>
  <c r="F416" i="3"/>
  <c r="D416" i="3"/>
  <c r="F415" i="3"/>
  <c r="D415" i="3"/>
  <c r="F412" i="3"/>
  <c r="F411" i="3"/>
  <c r="D411" i="3"/>
  <c r="F410" i="3"/>
  <c r="D410" i="3"/>
  <c r="F407" i="3"/>
  <c r="F406" i="3"/>
  <c r="D406" i="3"/>
  <c r="F405" i="3"/>
  <c r="D405" i="3"/>
  <c r="F402" i="3"/>
  <c r="F401" i="3"/>
  <c r="D401" i="3"/>
  <c r="F400" i="3"/>
  <c r="D400" i="3"/>
  <c r="F397" i="3"/>
  <c r="F396" i="3"/>
  <c r="D396" i="3"/>
  <c r="F395" i="3"/>
  <c r="D395" i="3"/>
  <c r="F392" i="3"/>
  <c r="F391" i="3"/>
  <c r="D391" i="3"/>
  <c r="F390" i="3"/>
  <c r="D390" i="3"/>
  <c r="F387" i="3"/>
  <c r="F386" i="3"/>
  <c r="D386" i="3"/>
  <c r="F385" i="3"/>
  <c r="D385" i="3"/>
  <c r="F382" i="3"/>
  <c r="F381" i="3"/>
  <c r="D381" i="3"/>
  <c r="F380" i="3"/>
  <c r="D380" i="3"/>
  <c r="F377" i="3"/>
  <c r="F376" i="3"/>
  <c r="D376" i="3"/>
  <c r="F375" i="3"/>
  <c r="D375" i="3"/>
  <c r="F372" i="3"/>
  <c r="F371" i="3"/>
  <c r="D371" i="3"/>
  <c r="F370" i="3"/>
  <c r="D370" i="3"/>
  <c r="F367" i="3"/>
  <c r="F366" i="3"/>
  <c r="D366" i="3"/>
  <c r="F365" i="3"/>
  <c r="D365" i="3"/>
  <c r="F362" i="3"/>
  <c r="F361" i="3"/>
  <c r="D361" i="3"/>
  <c r="F360" i="3"/>
  <c r="D360" i="3"/>
  <c r="F357" i="3"/>
  <c r="F356" i="3"/>
  <c r="D356" i="3"/>
  <c r="F355" i="3"/>
  <c r="D355" i="3"/>
  <c r="F352" i="3"/>
  <c r="F351" i="3"/>
  <c r="D351" i="3"/>
  <c r="F350" i="3"/>
  <c r="D350" i="3"/>
  <c r="F347" i="3"/>
  <c r="F346" i="3"/>
  <c r="D346" i="3"/>
  <c r="F345" i="3"/>
  <c r="D345" i="3"/>
  <c r="F342" i="3"/>
  <c r="F341" i="3"/>
  <c r="D341" i="3"/>
  <c r="F340" i="3"/>
  <c r="D340" i="3"/>
  <c r="F337" i="3"/>
  <c r="F336" i="3"/>
  <c r="D336" i="3"/>
  <c r="F335" i="3"/>
  <c r="D335" i="3"/>
  <c r="F332" i="3"/>
  <c r="F331" i="3"/>
  <c r="D331" i="3"/>
  <c r="F330" i="3"/>
  <c r="D330" i="3"/>
  <c r="F327" i="3"/>
  <c r="F326" i="3"/>
  <c r="D326" i="3"/>
  <c r="F325" i="3"/>
  <c r="D325" i="3"/>
  <c r="F322" i="3"/>
  <c r="F321" i="3"/>
  <c r="D321" i="3"/>
  <c r="F320" i="3"/>
  <c r="D320" i="3"/>
  <c r="F317" i="3"/>
  <c r="F316" i="3"/>
  <c r="D316" i="3"/>
  <c r="F315" i="3"/>
  <c r="D315" i="3"/>
  <c r="F312" i="3"/>
  <c r="F311" i="3"/>
  <c r="D311" i="3"/>
  <c r="F310" i="3"/>
  <c r="D310" i="3"/>
  <c r="F307" i="3"/>
  <c r="F306" i="3"/>
  <c r="D306" i="3"/>
  <c r="F305" i="3"/>
  <c r="D305" i="3"/>
  <c r="F302" i="3"/>
  <c r="F301" i="3"/>
  <c r="D301" i="3"/>
  <c r="F300" i="3"/>
  <c r="D300" i="3"/>
  <c r="F297" i="3"/>
  <c r="F296" i="3"/>
  <c r="D296" i="3"/>
  <c r="F295" i="3"/>
  <c r="D295" i="3"/>
  <c r="F292" i="3"/>
  <c r="F291" i="3"/>
  <c r="D291" i="3"/>
  <c r="F290" i="3"/>
  <c r="D290" i="3"/>
  <c r="F287" i="3"/>
  <c r="F286" i="3"/>
  <c r="D286" i="3"/>
  <c r="F285" i="3"/>
  <c r="D285" i="3"/>
  <c r="F282" i="3"/>
  <c r="F281" i="3"/>
  <c r="D281" i="3"/>
  <c r="F280" i="3"/>
  <c r="D280" i="3"/>
  <c r="F277" i="3"/>
  <c r="F276" i="3"/>
  <c r="D276" i="3"/>
  <c r="F275" i="3"/>
  <c r="D275" i="3"/>
  <c r="F272" i="3"/>
  <c r="F271" i="3"/>
  <c r="D271" i="3"/>
  <c r="F270" i="3"/>
  <c r="D270" i="3"/>
  <c r="F267" i="3"/>
  <c r="F266" i="3"/>
  <c r="D266" i="3"/>
  <c r="F265" i="3"/>
  <c r="D265" i="3"/>
  <c r="F262" i="3"/>
  <c r="F261" i="3"/>
  <c r="D261" i="3"/>
  <c r="F260" i="3"/>
  <c r="D260" i="3"/>
  <c r="F257" i="3"/>
  <c r="F256" i="3"/>
  <c r="D256" i="3"/>
  <c r="F255" i="3"/>
  <c r="D255" i="3"/>
  <c r="F252" i="3"/>
  <c r="F251" i="3"/>
  <c r="D251" i="3"/>
  <c r="F250" i="3"/>
  <c r="D250" i="3"/>
  <c r="F247" i="3"/>
  <c r="F246" i="3"/>
  <c r="D246" i="3"/>
  <c r="F245" i="3"/>
  <c r="D245" i="3"/>
  <c r="F242" i="3"/>
  <c r="F241" i="3"/>
  <c r="D241" i="3"/>
  <c r="F240" i="3"/>
  <c r="D240" i="3"/>
  <c r="F237" i="3"/>
  <c r="F236" i="3"/>
  <c r="D236" i="3"/>
  <c r="F235" i="3"/>
  <c r="D235" i="3"/>
  <c r="F232" i="3"/>
  <c r="F231" i="3"/>
  <c r="D231" i="3"/>
  <c r="F230" i="3"/>
  <c r="D230" i="3"/>
  <c r="F227" i="3"/>
  <c r="F226" i="3"/>
  <c r="D226" i="3"/>
  <c r="F225" i="3"/>
  <c r="D225" i="3"/>
  <c r="F222" i="3"/>
  <c r="F221" i="3"/>
  <c r="D221" i="3"/>
  <c r="F220" i="3"/>
  <c r="D220" i="3"/>
  <c r="F217" i="3"/>
  <c r="F216" i="3"/>
  <c r="D216" i="3"/>
  <c r="F215" i="3"/>
  <c r="D215" i="3"/>
  <c r="F212" i="3"/>
  <c r="F211" i="3"/>
  <c r="D211" i="3"/>
  <c r="F210" i="3"/>
  <c r="D210" i="3"/>
  <c r="F207" i="3"/>
  <c r="F206" i="3"/>
  <c r="D206" i="3"/>
  <c r="F205" i="3"/>
  <c r="D205" i="3"/>
  <c r="F202" i="3"/>
  <c r="F201" i="3"/>
  <c r="D201" i="3"/>
  <c r="F200" i="3"/>
  <c r="D200" i="3"/>
  <c r="F197" i="3"/>
  <c r="F196" i="3"/>
  <c r="D196" i="3"/>
  <c r="F195" i="3"/>
  <c r="D195" i="3"/>
  <c r="F192" i="3"/>
  <c r="F191" i="3"/>
  <c r="D191" i="3"/>
  <c r="F190" i="3"/>
  <c r="D190" i="3"/>
  <c r="F187" i="3"/>
  <c r="F186" i="3"/>
  <c r="D186" i="3"/>
  <c r="F185" i="3"/>
  <c r="D185" i="3"/>
  <c r="F182" i="3"/>
  <c r="F181" i="3"/>
  <c r="D181" i="3"/>
  <c r="F180" i="3"/>
  <c r="D180" i="3"/>
  <c r="F177" i="3"/>
  <c r="F176" i="3"/>
  <c r="D176" i="3"/>
  <c r="F175" i="3"/>
  <c r="D175" i="3"/>
  <c r="F172" i="3"/>
  <c r="F171" i="3"/>
  <c r="D171" i="3"/>
  <c r="F170" i="3"/>
  <c r="D170" i="3"/>
  <c r="F167" i="3"/>
  <c r="F166" i="3"/>
  <c r="D166" i="3"/>
  <c r="F165" i="3"/>
  <c r="D165" i="3"/>
  <c r="F162" i="3"/>
  <c r="F161" i="3"/>
  <c r="D161" i="3"/>
  <c r="F160" i="3"/>
  <c r="D160" i="3"/>
  <c r="F157" i="3"/>
  <c r="F156" i="3"/>
  <c r="D156" i="3"/>
  <c r="F155" i="3"/>
  <c r="D155" i="3"/>
  <c r="F152" i="3"/>
  <c r="F151" i="3"/>
  <c r="D151" i="3"/>
  <c r="F150" i="3"/>
  <c r="D150" i="3"/>
  <c r="F147" i="3"/>
  <c r="F146" i="3"/>
  <c r="D146" i="3"/>
  <c r="F145" i="3"/>
  <c r="D145" i="3"/>
  <c r="F142" i="3"/>
  <c r="F141" i="3"/>
  <c r="D141" i="3"/>
  <c r="F140" i="3"/>
  <c r="D140" i="3"/>
  <c r="F137" i="3"/>
  <c r="F136" i="3"/>
  <c r="D136" i="3"/>
  <c r="F135" i="3"/>
  <c r="D135" i="3"/>
  <c r="F132" i="3"/>
  <c r="F131" i="3"/>
  <c r="D131" i="3"/>
  <c r="F130" i="3"/>
  <c r="D130" i="3"/>
  <c r="F127" i="3"/>
  <c r="F126" i="3"/>
  <c r="D126" i="3"/>
  <c r="F125" i="3"/>
  <c r="D125" i="3"/>
  <c r="F122" i="3"/>
  <c r="F121" i="3"/>
  <c r="D121" i="3"/>
  <c r="F120" i="3"/>
  <c r="D120" i="3"/>
  <c r="F117" i="3"/>
  <c r="F116" i="3"/>
  <c r="D116" i="3"/>
  <c r="F115" i="3"/>
  <c r="D115" i="3"/>
  <c r="F112" i="3"/>
  <c r="F111" i="3"/>
  <c r="D111" i="3"/>
  <c r="F110" i="3"/>
  <c r="D110" i="3"/>
  <c r="F107" i="3"/>
  <c r="F106" i="3"/>
  <c r="D106" i="3"/>
  <c r="F105" i="3"/>
  <c r="D105" i="3"/>
  <c r="F102" i="3"/>
  <c r="F101" i="3"/>
  <c r="D101" i="3"/>
  <c r="F100" i="3"/>
  <c r="D100" i="3"/>
  <c r="F97" i="3"/>
  <c r="F96" i="3"/>
  <c r="D96" i="3"/>
  <c r="F95" i="3"/>
  <c r="D95" i="3"/>
  <c r="F92" i="3"/>
  <c r="F91" i="3"/>
  <c r="D91" i="3"/>
  <c r="F90" i="3"/>
  <c r="D90" i="3"/>
  <c r="F87" i="3"/>
  <c r="F86" i="3"/>
  <c r="D86" i="3"/>
  <c r="F85" i="3"/>
  <c r="D85" i="3"/>
  <c r="F82" i="3"/>
  <c r="F81" i="3"/>
  <c r="D81" i="3"/>
  <c r="F80" i="3"/>
  <c r="D80" i="3"/>
  <c r="F77" i="3"/>
  <c r="F76" i="3"/>
  <c r="D76" i="3"/>
  <c r="F75" i="3"/>
  <c r="D75" i="3"/>
  <c r="F72" i="3"/>
  <c r="F71" i="3"/>
  <c r="D71" i="3"/>
  <c r="F70" i="3"/>
  <c r="D70" i="3"/>
  <c r="F67" i="3"/>
  <c r="F66" i="3"/>
  <c r="D66" i="3"/>
  <c r="F65" i="3"/>
  <c r="D65" i="3"/>
  <c r="F62" i="3"/>
  <c r="F61" i="3"/>
  <c r="D61" i="3"/>
  <c r="F60" i="3"/>
  <c r="D60" i="3"/>
  <c r="F57" i="3"/>
  <c r="F56" i="3"/>
  <c r="D56" i="3"/>
  <c r="F55" i="3"/>
  <c r="D55" i="3"/>
  <c r="F52" i="3"/>
  <c r="F51" i="3"/>
  <c r="D51" i="3"/>
  <c r="F50" i="3"/>
  <c r="D50" i="3"/>
  <c r="F47" i="3"/>
  <c r="F46" i="3"/>
  <c r="D46" i="3"/>
  <c r="F45" i="3"/>
  <c r="D45" i="3"/>
  <c r="F42" i="3"/>
  <c r="F41" i="3"/>
  <c r="D41" i="3"/>
  <c r="F40" i="3"/>
  <c r="D40" i="3"/>
  <c r="F37" i="3"/>
  <c r="F36" i="3"/>
  <c r="D36" i="3"/>
  <c r="F35" i="3"/>
  <c r="D35" i="3"/>
  <c r="F32" i="3"/>
  <c r="F31" i="3"/>
  <c r="D31" i="3"/>
  <c r="F30" i="3"/>
  <c r="D30" i="3"/>
  <c r="F27" i="3"/>
  <c r="F26" i="3"/>
  <c r="D26" i="3"/>
  <c r="F25" i="3"/>
  <c r="D25" i="3"/>
  <c r="F22" i="3"/>
  <c r="F21" i="3"/>
  <c r="D21" i="3"/>
  <c r="F20" i="3"/>
  <c r="D20" i="3"/>
  <c r="F17" i="3"/>
  <c r="F16" i="3"/>
  <c r="D16" i="3"/>
  <c r="F15" i="3"/>
  <c r="D15" i="3"/>
  <c r="F1142" i="2"/>
  <c r="F1141" i="2"/>
  <c r="D1141" i="2"/>
  <c r="F1140" i="2"/>
  <c r="D1140" i="2"/>
  <c r="F1137" i="2"/>
  <c r="F1136" i="2"/>
  <c r="D1136" i="2"/>
  <c r="F1135" i="2"/>
  <c r="D1135" i="2"/>
  <c r="F1132" i="2"/>
  <c r="F1131" i="2"/>
  <c r="D1131" i="2"/>
  <c r="F1130" i="2"/>
  <c r="D1130" i="2"/>
  <c r="F1127" i="2"/>
  <c r="F1126" i="2"/>
  <c r="D1126" i="2"/>
  <c r="F1125" i="2"/>
  <c r="D1125" i="2"/>
  <c r="F1122" i="2"/>
  <c r="F1121" i="2"/>
  <c r="D1121" i="2"/>
  <c r="F1120" i="2"/>
  <c r="D1120" i="2"/>
  <c r="F1117" i="2"/>
  <c r="F1116" i="2"/>
  <c r="D1116" i="2"/>
  <c r="F1115" i="2"/>
  <c r="D1115" i="2"/>
  <c r="F1112" i="2"/>
  <c r="F1111" i="2"/>
  <c r="D1111" i="2"/>
  <c r="F1110" i="2"/>
  <c r="D1110" i="2"/>
  <c r="F1107" i="2"/>
  <c r="F1106" i="2"/>
  <c r="D1106" i="2"/>
  <c r="F1105" i="2"/>
  <c r="D1105" i="2"/>
  <c r="F1102" i="2"/>
  <c r="F1101" i="2"/>
  <c r="D1101" i="2"/>
  <c r="F1100" i="2"/>
  <c r="D1100" i="2"/>
  <c r="F1097" i="2"/>
  <c r="F1096" i="2"/>
  <c r="D1096" i="2"/>
  <c r="F1095" i="2"/>
  <c r="D1095" i="2"/>
  <c r="F1092" i="2"/>
  <c r="F1091" i="2"/>
  <c r="D1091" i="2"/>
  <c r="F1090" i="2"/>
  <c r="D1090" i="2"/>
  <c r="F1087" i="2"/>
  <c r="F1086" i="2"/>
  <c r="D1086" i="2"/>
  <c r="F1085" i="2"/>
  <c r="D1085" i="2"/>
  <c r="F1082" i="2"/>
  <c r="F1081" i="2"/>
  <c r="D1081" i="2"/>
  <c r="F1080" i="2"/>
  <c r="D1080" i="2"/>
  <c r="F1077" i="2"/>
  <c r="F1076" i="2"/>
  <c r="D1076" i="2"/>
  <c r="F1075" i="2"/>
  <c r="D1075" i="2"/>
  <c r="F1072" i="2"/>
  <c r="F1071" i="2"/>
  <c r="D1071" i="2"/>
  <c r="F1070" i="2"/>
  <c r="D1070" i="2"/>
  <c r="F1067" i="2"/>
  <c r="F1066" i="2"/>
  <c r="D1066" i="2"/>
  <c r="F1065" i="2"/>
  <c r="D1065" i="2"/>
  <c r="F1062" i="2"/>
  <c r="F1061" i="2"/>
  <c r="D1061" i="2"/>
  <c r="F1060" i="2"/>
  <c r="D1060" i="2"/>
  <c r="F1057" i="2"/>
  <c r="F1056" i="2"/>
  <c r="D1056" i="2"/>
  <c r="F1055" i="2"/>
  <c r="D1055" i="2"/>
  <c r="F1052" i="2"/>
  <c r="F1051" i="2"/>
  <c r="D1051" i="2"/>
  <c r="F1050" i="2"/>
  <c r="D1050" i="2"/>
  <c r="F1047" i="2"/>
  <c r="F1046" i="2"/>
  <c r="D1046" i="2"/>
  <c r="F1045" i="2"/>
  <c r="D1045" i="2"/>
  <c r="F1042" i="2"/>
  <c r="F1041" i="2"/>
  <c r="D1041" i="2"/>
  <c r="F1040" i="2"/>
  <c r="D1040" i="2"/>
  <c r="F1037" i="2"/>
  <c r="F1036" i="2"/>
  <c r="D1036" i="2"/>
  <c r="F1035" i="2"/>
  <c r="D1035" i="2"/>
  <c r="F1032" i="2"/>
  <c r="F1031" i="2"/>
  <c r="D1031" i="2"/>
  <c r="F1030" i="2"/>
  <c r="D1030" i="2"/>
  <c r="F1027" i="2"/>
  <c r="F1026" i="2"/>
  <c r="D1026" i="2"/>
  <c r="F1025" i="2"/>
  <c r="D1025" i="2"/>
  <c r="F1022" i="2"/>
  <c r="F1021" i="2"/>
  <c r="D1021" i="2"/>
  <c r="F1020" i="2"/>
  <c r="D1020" i="2"/>
  <c r="F1017" i="2"/>
  <c r="F1016" i="2"/>
  <c r="D1016" i="2"/>
  <c r="F1015" i="2"/>
  <c r="D1015" i="2"/>
  <c r="F1012" i="2"/>
  <c r="F1011" i="2"/>
  <c r="D1011" i="2"/>
  <c r="F1010" i="2"/>
  <c r="D1010" i="2"/>
  <c r="F1007" i="2"/>
  <c r="F1006" i="2"/>
  <c r="D1006" i="2"/>
  <c r="F1005" i="2"/>
  <c r="D1005" i="2"/>
  <c r="F1002" i="2"/>
  <c r="F1001" i="2"/>
  <c r="D1001" i="2"/>
  <c r="F1000" i="2"/>
  <c r="D1000" i="2"/>
  <c r="F997" i="2"/>
  <c r="F996" i="2"/>
  <c r="D996" i="2"/>
  <c r="F995" i="2"/>
  <c r="D995" i="2"/>
  <c r="F992" i="2"/>
  <c r="F991" i="2"/>
  <c r="D991" i="2"/>
  <c r="F990" i="2"/>
  <c r="D990" i="2"/>
  <c r="F987" i="2"/>
  <c r="F986" i="2"/>
  <c r="D986" i="2"/>
  <c r="F985" i="2"/>
  <c r="D985" i="2"/>
  <c r="F982" i="2"/>
  <c r="F981" i="2"/>
  <c r="D981" i="2"/>
  <c r="F980" i="2"/>
  <c r="D980" i="2"/>
  <c r="F977" i="2"/>
  <c r="F976" i="2"/>
  <c r="D976" i="2"/>
  <c r="F975" i="2"/>
  <c r="D975" i="2"/>
  <c r="F972" i="2"/>
  <c r="F971" i="2"/>
  <c r="D971" i="2"/>
  <c r="F970" i="2"/>
  <c r="D970" i="2"/>
  <c r="F967" i="2"/>
  <c r="F966" i="2"/>
  <c r="D966" i="2"/>
  <c r="F965" i="2"/>
  <c r="D965" i="2"/>
  <c r="F962" i="2"/>
  <c r="F961" i="2"/>
  <c r="D961" i="2"/>
  <c r="F960" i="2"/>
  <c r="D960" i="2"/>
  <c r="F957" i="2"/>
  <c r="F956" i="2"/>
  <c r="D956" i="2"/>
  <c r="F955" i="2"/>
  <c r="D955" i="2"/>
  <c r="F952" i="2"/>
  <c r="F951" i="2"/>
  <c r="D951" i="2"/>
  <c r="F950" i="2"/>
  <c r="D950" i="2"/>
  <c r="F947" i="2"/>
  <c r="F946" i="2"/>
  <c r="D946" i="2"/>
  <c r="F945" i="2"/>
  <c r="D945" i="2"/>
  <c r="F942" i="2"/>
  <c r="F941" i="2"/>
  <c r="D941" i="2"/>
  <c r="F940" i="2"/>
  <c r="D940" i="2"/>
  <c r="F937" i="2"/>
  <c r="F936" i="2"/>
  <c r="D936" i="2"/>
  <c r="F935" i="2"/>
  <c r="D935" i="2"/>
  <c r="F932" i="2"/>
  <c r="F931" i="2"/>
  <c r="D931" i="2"/>
  <c r="F930" i="2"/>
  <c r="D930" i="2"/>
  <c r="F927" i="2"/>
  <c r="F926" i="2"/>
  <c r="D926" i="2"/>
  <c r="F925" i="2"/>
  <c r="D925" i="2"/>
  <c r="F922" i="2"/>
  <c r="F921" i="2"/>
  <c r="D921" i="2"/>
  <c r="F920" i="2"/>
  <c r="D920" i="2"/>
  <c r="F917" i="2"/>
  <c r="F916" i="2"/>
  <c r="D916" i="2"/>
  <c r="F915" i="2"/>
  <c r="D915" i="2"/>
  <c r="F912" i="2"/>
  <c r="F911" i="2"/>
  <c r="D911" i="2"/>
  <c r="F910" i="2"/>
  <c r="D910" i="2"/>
  <c r="F907" i="2"/>
  <c r="F906" i="2"/>
  <c r="D906" i="2"/>
  <c r="F905" i="2"/>
  <c r="D905" i="2"/>
  <c r="F902" i="2"/>
  <c r="F901" i="2"/>
  <c r="D901" i="2"/>
  <c r="F900" i="2"/>
  <c r="D900" i="2"/>
  <c r="F897" i="2"/>
  <c r="F896" i="2"/>
  <c r="D896" i="2"/>
  <c r="F895" i="2"/>
  <c r="D895" i="2"/>
  <c r="F892" i="2"/>
  <c r="F891" i="2"/>
  <c r="D891" i="2"/>
  <c r="F890" i="2"/>
  <c r="D890" i="2"/>
  <c r="F887" i="2"/>
  <c r="F886" i="2"/>
  <c r="D886" i="2"/>
  <c r="F885" i="2"/>
  <c r="D885" i="2"/>
  <c r="F882" i="2"/>
  <c r="F881" i="2"/>
  <c r="D881" i="2"/>
  <c r="F880" i="2"/>
  <c r="D880" i="2"/>
  <c r="F877" i="2"/>
  <c r="F876" i="2"/>
  <c r="D876" i="2"/>
  <c r="F875" i="2"/>
  <c r="D875" i="2"/>
  <c r="F872" i="2"/>
  <c r="F871" i="2"/>
  <c r="D871" i="2"/>
  <c r="F870" i="2"/>
  <c r="D870" i="2"/>
  <c r="F867" i="2"/>
  <c r="F866" i="2"/>
  <c r="D866" i="2"/>
  <c r="F865" i="2"/>
  <c r="D865" i="2"/>
  <c r="F862" i="2"/>
  <c r="F861" i="2"/>
  <c r="D861" i="2"/>
  <c r="F860" i="2"/>
  <c r="D860" i="2"/>
  <c r="F857" i="2"/>
  <c r="F856" i="2"/>
  <c r="D856" i="2"/>
  <c r="F855" i="2"/>
  <c r="D855" i="2"/>
  <c r="F852" i="2"/>
  <c r="F851" i="2"/>
  <c r="D851" i="2"/>
  <c r="F850" i="2"/>
  <c r="D850" i="2"/>
  <c r="F847" i="2"/>
  <c r="F846" i="2"/>
  <c r="D846" i="2"/>
  <c r="F845" i="2"/>
  <c r="D845" i="2"/>
  <c r="F842" i="2"/>
  <c r="F841" i="2"/>
  <c r="D841" i="2"/>
  <c r="F840" i="2"/>
  <c r="D840" i="2"/>
  <c r="F837" i="2"/>
  <c r="F836" i="2"/>
  <c r="D836" i="2"/>
  <c r="F835" i="2"/>
  <c r="D835" i="2"/>
  <c r="F832" i="2"/>
  <c r="F831" i="2"/>
  <c r="D831" i="2"/>
  <c r="F830" i="2"/>
  <c r="D830" i="2"/>
  <c r="F827" i="2"/>
  <c r="F826" i="2"/>
  <c r="D826" i="2"/>
  <c r="F825" i="2"/>
  <c r="D825" i="2"/>
  <c r="F822" i="2"/>
  <c r="F821" i="2"/>
  <c r="D821" i="2"/>
  <c r="F820" i="2"/>
  <c r="D820" i="2"/>
  <c r="F817" i="2"/>
  <c r="F816" i="2"/>
  <c r="D816" i="2"/>
  <c r="F815" i="2"/>
  <c r="D815" i="2"/>
  <c r="F812" i="2"/>
  <c r="F811" i="2"/>
  <c r="D811" i="2"/>
  <c r="F810" i="2"/>
  <c r="D810" i="2"/>
  <c r="F807" i="2"/>
  <c r="F806" i="2"/>
  <c r="D806" i="2"/>
  <c r="F805" i="2"/>
  <c r="D805" i="2"/>
  <c r="F802" i="2"/>
  <c r="F801" i="2"/>
  <c r="D801" i="2"/>
  <c r="F800" i="2"/>
  <c r="D800" i="2"/>
  <c r="F797" i="2"/>
  <c r="F796" i="2"/>
  <c r="D796" i="2"/>
  <c r="F795" i="2"/>
  <c r="D795" i="2"/>
  <c r="F792" i="2"/>
  <c r="F791" i="2"/>
  <c r="D791" i="2"/>
  <c r="F790" i="2"/>
  <c r="D790" i="2"/>
  <c r="F787" i="2"/>
  <c r="F786" i="2"/>
  <c r="D786" i="2"/>
  <c r="F785" i="2"/>
  <c r="D785" i="2"/>
  <c r="F782" i="2"/>
  <c r="F781" i="2"/>
  <c r="D781" i="2"/>
  <c r="F780" i="2"/>
  <c r="D780" i="2"/>
  <c r="F777" i="2"/>
  <c r="F776" i="2"/>
  <c r="D776" i="2"/>
  <c r="F775" i="2"/>
  <c r="D775" i="2"/>
  <c r="F772" i="2"/>
  <c r="F771" i="2"/>
  <c r="D771" i="2"/>
  <c r="F770" i="2"/>
  <c r="D770" i="2"/>
  <c r="F767" i="2"/>
  <c r="F766" i="2"/>
  <c r="D766" i="2"/>
  <c r="F765" i="2"/>
  <c r="D765" i="2"/>
  <c r="F762" i="2"/>
  <c r="F761" i="2"/>
  <c r="D761" i="2"/>
  <c r="F760" i="2"/>
  <c r="D760" i="2"/>
  <c r="F757" i="2"/>
  <c r="F756" i="2"/>
  <c r="D756" i="2"/>
  <c r="F755" i="2"/>
  <c r="D755" i="2"/>
  <c r="F752" i="2"/>
  <c r="F751" i="2"/>
  <c r="D751" i="2"/>
  <c r="F750" i="2"/>
  <c r="D750" i="2"/>
  <c r="F747" i="2"/>
  <c r="F746" i="2"/>
  <c r="D746" i="2"/>
  <c r="F745" i="2"/>
  <c r="D745" i="2"/>
  <c r="F742" i="2"/>
  <c r="F741" i="2"/>
  <c r="D741" i="2"/>
  <c r="F740" i="2"/>
  <c r="D740" i="2"/>
  <c r="F737" i="2"/>
  <c r="F736" i="2"/>
  <c r="D736" i="2"/>
  <c r="F735" i="2"/>
  <c r="D735" i="2"/>
  <c r="F732" i="2"/>
  <c r="F731" i="2"/>
  <c r="D731" i="2"/>
  <c r="F730" i="2"/>
  <c r="D730" i="2"/>
  <c r="F727" i="2"/>
  <c r="F726" i="2"/>
  <c r="D726" i="2"/>
  <c r="F725" i="2"/>
  <c r="D725" i="2"/>
  <c r="F722" i="2"/>
  <c r="F721" i="2"/>
  <c r="D721" i="2"/>
  <c r="F720" i="2"/>
  <c r="D720" i="2"/>
  <c r="F717" i="2"/>
  <c r="F716" i="2"/>
  <c r="D716" i="2"/>
  <c r="F715" i="2"/>
  <c r="D715" i="2"/>
  <c r="F712" i="2"/>
  <c r="F711" i="2"/>
  <c r="D711" i="2"/>
  <c r="F710" i="2"/>
  <c r="D710" i="2"/>
  <c r="F707" i="2"/>
  <c r="F706" i="2"/>
  <c r="D706" i="2"/>
  <c r="F705" i="2"/>
  <c r="D705" i="2"/>
  <c r="F702" i="2"/>
  <c r="F701" i="2"/>
  <c r="D701" i="2"/>
  <c r="F700" i="2"/>
  <c r="D700" i="2"/>
  <c r="F697" i="2"/>
  <c r="F696" i="2"/>
  <c r="D696" i="2"/>
  <c r="F695" i="2"/>
  <c r="D695" i="2"/>
  <c r="F692" i="2"/>
  <c r="F691" i="2"/>
  <c r="D691" i="2"/>
  <c r="F690" i="2"/>
  <c r="D690" i="2"/>
  <c r="F687" i="2"/>
  <c r="F686" i="2"/>
  <c r="D686" i="2"/>
  <c r="F685" i="2"/>
  <c r="D685" i="2"/>
  <c r="F682" i="2"/>
  <c r="F681" i="2"/>
  <c r="D681" i="2"/>
  <c r="F680" i="2"/>
  <c r="D680" i="2"/>
  <c r="F677" i="2"/>
  <c r="F676" i="2"/>
  <c r="D676" i="2"/>
  <c r="F675" i="2"/>
  <c r="D675" i="2"/>
  <c r="F672" i="2"/>
  <c r="F671" i="2"/>
  <c r="D671" i="2"/>
  <c r="F670" i="2"/>
  <c r="D670" i="2"/>
  <c r="F667" i="2"/>
  <c r="F666" i="2"/>
  <c r="D666" i="2"/>
  <c r="F665" i="2"/>
  <c r="D665" i="2"/>
  <c r="F662" i="2"/>
  <c r="F661" i="2"/>
  <c r="D661" i="2"/>
  <c r="F660" i="2"/>
  <c r="D660" i="2"/>
  <c r="F657" i="2"/>
  <c r="F656" i="2"/>
  <c r="D656" i="2"/>
  <c r="F655" i="2"/>
  <c r="D655" i="2"/>
  <c r="F652" i="2"/>
  <c r="F651" i="2"/>
  <c r="D651" i="2"/>
  <c r="F650" i="2"/>
  <c r="D650" i="2"/>
  <c r="F647" i="2"/>
  <c r="F646" i="2"/>
  <c r="D646" i="2"/>
  <c r="F645" i="2"/>
  <c r="D645" i="2"/>
  <c r="F642" i="2"/>
  <c r="F641" i="2"/>
  <c r="D641" i="2"/>
  <c r="F640" i="2"/>
  <c r="D640" i="2"/>
  <c r="F637" i="2"/>
  <c r="F636" i="2"/>
  <c r="D636" i="2"/>
  <c r="F635" i="2"/>
  <c r="D635" i="2"/>
  <c r="F632" i="2"/>
  <c r="F631" i="2"/>
  <c r="D631" i="2"/>
  <c r="F630" i="2"/>
  <c r="D630" i="2"/>
  <c r="F627" i="2"/>
  <c r="F626" i="2"/>
  <c r="D626" i="2"/>
  <c r="F625" i="2"/>
  <c r="D625" i="2"/>
  <c r="F622" i="2"/>
  <c r="F621" i="2"/>
  <c r="D621" i="2"/>
  <c r="F620" i="2"/>
  <c r="D620" i="2"/>
  <c r="F617" i="2"/>
  <c r="F616" i="2"/>
  <c r="D616" i="2"/>
  <c r="F615" i="2"/>
  <c r="D615" i="2"/>
  <c r="F612" i="2"/>
  <c r="F611" i="2"/>
  <c r="D611" i="2"/>
  <c r="F610" i="2"/>
  <c r="D610" i="2"/>
  <c r="F607" i="2"/>
  <c r="F606" i="2"/>
  <c r="D606" i="2"/>
  <c r="F605" i="2"/>
  <c r="D605" i="2"/>
  <c r="F602" i="2"/>
  <c r="F601" i="2"/>
  <c r="D601" i="2"/>
  <c r="F600" i="2"/>
  <c r="D600" i="2"/>
  <c r="F597" i="2"/>
  <c r="F596" i="2"/>
  <c r="D596" i="2"/>
  <c r="F595" i="2"/>
  <c r="D595" i="2"/>
  <c r="F592" i="2"/>
  <c r="F591" i="2"/>
  <c r="D591" i="2"/>
  <c r="F590" i="2"/>
  <c r="D590" i="2"/>
  <c r="F587" i="2"/>
  <c r="F586" i="2"/>
  <c r="D586" i="2"/>
  <c r="F585" i="2"/>
  <c r="D585" i="2"/>
  <c r="F582" i="2"/>
  <c r="F581" i="2"/>
  <c r="D581" i="2"/>
  <c r="F580" i="2"/>
  <c r="D580" i="2"/>
  <c r="F577" i="2"/>
  <c r="F576" i="2"/>
  <c r="D576" i="2"/>
  <c r="F575" i="2"/>
  <c r="D575" i="2"/>
  <c r="F572" i="2"/>
  <c r="F571" i="2"/>
  <c r="D571" i="2"/>
  <c r="F570" i="2"/>
  <c r="D570" i="2"/>
  <c r="F567" i="2"/>
  <c r="F566" i="2"/>
  <c r="D566" i="2"/>
  <c r="F565" i="2"/>
  <c r="D565" i="2"/>
  <c r="F562" i="2"/>
  <c r="F561" i="2"/>
  <c r="D561" i="2"/>
  <c r="F560" i="2"/>
  <c r="D560" i="2"/>
  <c r="F557" i="2"/>
  <c r="F556" i="2"/>
  <c r="D556" i="2"/>
  <c r="F555" i="2"/>
  <c r="D555" i="2"/>
  <c r="F552" i="2"/>
  <c r="F551" i="2"/>
  <c r="D551" i="2"/>
  <c r="F550" i="2"/>
  <c r="D550" i="2"/>
  <c r="F547" i="2"/>
  <c r="F546" i="2"/>
  <c r="D546" i="2"/>
  <c r="F545" i="2"/>
  <c r="D545" i="2"/>
  <c r="F542" i="2"/>
  <c r="F541" i="2"/>
  <c r="D541" i="2"/>
  <c r="F540" i="2"/>
  <c r="D540" i="2"/>
  <c r="F537" i="2"/>
  <c r="F536" i="2"/>
  <c r="D536" i="2"/>
  <c r="F535" i="2"/>
  <c r="D535" i="2"/>
  <c r="F532" i="2"/>
  <c r="F531" i="2"/>
  <c r="D531" i="2"/>
  <c r="F530" i="2"/>
  <c r="D530" i="2"/>
  <c r="F527" i="2"/>
  <c r="F526" i="2"/>
  <c r="D526" i="2"/>
  <c r="F525" i="2"/>
  <c r="D525" i="2"/>
  <c r="F522" i="2"/>
  <c r="F521" i="2"/>
  <c r="D521" i="2"/>
  <c r="F520" i="2"/>
  <c r="D520" i="2"/>
  <c r="F517" i="2"/>
  <c r="F516" i="2"/>
  <c r="D516" i="2"/>
  <c r="F515" i="2"/>
  <c r="D515" i="2"/>
  <c r="F512" i="2"/>
  <c r="F511" i="2"/>
  <c r="D511" i="2"/>
  <c r="F510" i="2"/>
  <c r="D510" i="2"/>
  <c r="F507" i="2"/>
  <c r="F506" i="2"/>
  <c r="D506" i="2"/>
  <c r="F505" i="2"/>
  <c r="D505" i="2"/>
  <c r="F502" i="2"/>
  <c r="F501" i="2"/>
  <c r="D501" i="2"/>
  <c r="F500" i="2"/>
  <c r="D500" i="2"/>
  <c r="F497" i="2"/>
  <c r="F496" i="2"/>
  <c r="D496" i="2"/>
  <c r="F495" i="2"/>
  <c r="D495" i="2"/>
  <c r="F492" i="2"/>
  <c r="F491" i="2"/>
  <c r="D491" i="2"/>
  <c r="F490" i="2"/>
  <c r="D490" i="2"/>
  <c r="F487" i="2"/>
  <c r="F486" i="2"/>
  <c r="D486" i="2"/>
  <c r="F485" i="2"/>
  <c r="D485" i="2"/>
  <c r="F482" i="2"/>
  <c r="F481" i="2"/>
  <c r="D481" i="2"/>
  <c r="F480" i="2"/>
  <c r="D480" i="2"/>
  <c r="F477" i="2"/>
  <c r="F476" i="2"/>
  <c r="D476" i="2"/>
  <c r="F475" i="2"/>
  <c r="D475" i="2"/>
  <c r="F472" i="2"/>
  <c r="F471" i="2"/>
  <c r="D471" i="2"/>
  <c r="F470" i="2"/>
  <c r="D470" i="2"/>
  <c r="F467" i="2"/>
  <c r="F466" i="2"/>
  <c r="D466" i="2"/>
  <c r="F465" i="2"/>
  <c r="D465" i="2"/>
  <c r="F462" i="2"/>
  <c r="F461" i="2"/>
  <c r="D461" i="2"/>
  <c r="F460" i="2"/>
  <c r="D460" i="2"/>
  <c r="F457" i="2"/>
  <c r="F456" i="2"/>
  <c r="D456" i="2"/>
  <c r="F455" i="2"/>
  <c r="D455" i="2"/>
  <c r="F452" i="2"/>
  <c r="F451" i="2"/>
  <c r="D451" i="2"/>
  <c r="F450" i="2"/>
  <c r="D450" i="2"/>
  <c r="F447" i="2"/>
  <c r="F446" i="2"/>
  <c r="D446" i="2"/>
  <c r="F445" i="2"/>
  <c r="D445" i="2"/>
  <c r="F442" i="2"/>
  <c r="F441" i="2"/>
  <c r="D441" i="2"/>
  <c r="F440" i="2"/>
  <c r="D440" i="2"/>
  <c r="F437" i="2"/>
  <c r="F436" i="2"/>
  <c r="D436" i="2"/>
  <c r="F435" i="2"/>
  <c r="D435" i="2"/>
  <c r="F432" i="2"/>
  <c r="F431" i="2"/>
  <c r="D431" i="2"/>
  <c r="F430" i="2"/>
  <c r="D430" i="2"/>
  <c r="F427" i="2"/>
  <c r="F426" i="2"/>
  <c r="D426" i="2"/>
  <c r="F425" i="2"/>
  <c r="D425" i="2"/>
  <c r="F422" i="2"/>
  <c r="F421" i="2"/>
  <c r="D421" i="2"/>
  <c r="F420" i="2"/>
  <c r="D420" i="2"/>
  <c r="F417" i="2"/>
  <c r="F416" i="2"/>
  <c r="D416" i="2"/>
  <c r="F415" i="2"/>
  <c r="D415" i="2"/>
  <c r="F412" i="2"/>
  <c r="F411" i="2"/>
  <c r="D411" i="2"/>
  <c r="F410" i="2"/>
  <c r="D410" i="2"/>
  <c r="F407" i="2"/>
  <c r="F406" i="2"/>
  <c r="D406" i="2"/>
  <c r="F405" i="2"/>
  <c r="D405" i="2"/>
  <c r="F402" i="2"/>
  <c r="F401" i="2"/>
  <c r="D401" i="2"/>
  <c r="F400" i="2"/>
  <c r="D400" i="2"/>
  <c r="F397" i="2"/>
  <c r="F396" i="2"/>
  <c r="D396" i="2"/>
  <c r="F395" i="2"/>
  <c r="D395" i="2"/>
  <c r="F392" i="2"/>
  <c r="F391" i="2"/>
  <c r="D391" i="2"/>
  <c r="F390" i="2"/>
  <c r="D390" i="2"/>
  <c r="F387" i="2"/>
  <c r="F386" i="2"/>
  <c r="D386" i="2"/>
  <c r="F385" i="2"/>
  <c r="D385" i="2"/>
  <c r="F382" i="2"/>
  <c r="F381" i="2"/>
  <c r="D381" i="2"/>
  <c r="F380" i="2"/>
  <c r="D380" i="2"/>
  <c r="F377" i="2"/>
  <c r="F376" i="2"/>
  <c r="D376" i="2"/>
  <c r="F375" i="2"/>
  <c r="D375" i="2"/>
  <c r="F372" i="2"/>
  <c r="F371" i="2"/>
  <c r="D371" i="2"/>
  <c r="F370" i="2"/>
  <c r="D370" i="2"/>
  <c r="F367" i="2"/>
  <c r="F366" i="2"/>
  <c r="D366" i="2"/>
  <c r="F365" i="2"/>
  <c r="D365" i="2"/>
  <c r="F362" i="2"/>
  <c r="F361" i="2"/>
  <c r="D361" i="2"/>
  <c r="F360" i="2"/>
  <c r="D360" i="2"/>
  <c r="F357" i="2"/>
  <c r="F356" i="2"/>
  <c r="D356" i="2"/>
  <c r="F355" i="2"/>
  <c r="D355" i="2"/>
  <c r="F352" i="2"/>
  <c r="F351" i="2"/>
  <c r="D351" i="2"/>
  <c r="F350" i="2"/>
  <c r="D350" i="2"/>
  <c r="F347" i="2"/>
  <c r="F346" i="2"/>
  <c r="D346" i="2"/>
  <c r="F345" i="2"/>
  <c r="D345" i="2"/>
  <c r="F342" i="2"/>
  <c r="F341" i="2"/>
  <c r="D341" i="2"/>
  <c r="F340" i="2"/>
  <c r="D340" i="2"/>
  <c r="F337" i="2"/>
  <c r="F336" i="2"/>
  <c r="D336" i="2"/>
  <c r="F335" i="2"/>
  <c r="D335" i="2"/>
  <c r="F332" i="2"/>
  <c r="F331" i="2"/>
  <c r="D331" i="2"/>
  <c r="F330" i="2"/>
  <c r="D330" i="2"/>
  <c r="F327" i="2"/>
  <c r="F326" i="2"/>
  <c r="D326" i="2"/>
  <c r="F325" i="2"/>
  <c r="D325" i="2"/>
  <c r="F322" i="2"/>
  <c r="F321" i="2"/>
  <c r="D321" i="2"/>
  <c r="F320" i="2"/>
  <c r="D320" i="2"/>
  <c r="F317" i="2"/>
  <c r="F316" i="2"/>
  <c r="D316" i="2"/>
  <c r="F315" i="2"/>
  <c r="D315" i="2"/>
  <c r="F312" i="2"/>
  <c r="F311" i="2"/>
  <c r="D311" i="2"/>
  <c r="F310" i="2"/>
  <c r="D310" i="2"/>
  <c r="F307" i="2"/>
  <c r="F306" i="2"/>
  <c r="D306" i="2"/>
  <c r="F305" i="2"/>
  <c r="D305" i="2"/>
  <c r="F302" i="2"/>
  <c r="F301" i="2"/>
  <c r="D301" i="2"/>
  <c r="F300" i="2"/>
  <c r="D300" i="2"/>
  <c r="F297" i="2"/>
  <c r="F296" i="2"/>
  <c r="D296" i="2"/>
  <c r="F295" i="2"/>
  <c r="D295" i="2"/>
  <c r="F292" i="2"/>
  <c r="F291" i="2"/>
  <c r="D291" i="2"/>
  <c r="F290" i="2"/>
  <c r="D290" i="2"/>
  <c r="F287" i="2"/>
  <c r="F286" i="2"/>
  <c r="D286" i="2"/>
  <c r="F285" i="2"/>
  <c r="D285" i="2"/>
  <c r="F282" i="2"/>
  <c r="F281" i="2"/>
  <c r="D281" i="2"/>
  <c r="F280" i="2"/>
  <c r="D280" i="2"/>
  <c r="F277" i="2"/>
  <c r="F276" i="2"/>
  <c r="D276" i="2"/>
  <c r="F275" i="2"/>
  <c r="D275" i="2"/>
  <c r="F272" i="2"/>
  <c r="F271" i="2"/>
  <c r="D271" i="2"/>
  <c r="F270" i="2"/>
  <c r="D270" i="2"/>
  <c r="F267" i="2"/>
  <c r="F266" i="2"/>
  <c r="D266" i="2"/>
  <c r="F265" i="2"/>
  <c r="D265" i="2"/>
  <c r="F262" i="2"/>
  <c r="F261" i="2"/>
  <c r="D261" i="2"/>
  <c r="F260" i="2"/>
  <c r="D260" i="2"/>
  <c r="F257" i="2"/>
  <c r="F256" i="2"/>
  <c r="D256" i="2"/>
  <c r="F255" i="2"/>
  <c r="D255" i="2"/>
  <c r="F252" i="2"/>
  <c r="F251" i="2"/>
  <c r="D251" i="2"/>
  <c r="F250" i="2"/>
  <c r="D250" i="2"/>
  <c r="F247" i="2"/>
  <c r="F246" i="2"/>
  <c r="D246" i="2"/>
  <c r="F245" i="2"/>
  <c r="D245" i="2"/>
  <c r="F242" i="2"/>
  <c r="F241" i="2"/>
  <c r="D241" i="2"/>
  <c r="F240" i="2"/>
  <c r="D240" i="2"/>
  <c r="F237" i="2"/>
  <c r="F236" i="2"/>
  <c r="D236" i="2"/>
  <c r="F235" i="2"/>
  <c r="D235" i="2"/>
  <c r="F232" i="2"/>
  <c r="F231" i="2"/>
  <c r="D231" i="2"/>
  <c r="F230" i="2"/>
  <c r="D230" i="2"/>
  <c r="F227" i="2"/>
  <c r="F226" i="2"/>
  <c r="D226" i="2"/>
  <c r="F225" i="2"/>
  <c r="D225" i="2"/>
  <c r="F222" i="2"/>
  <c r="F221" i="2"/>
  <c r="D221" i="2"/>
  <c r="F220" i="2"/>
  <c r="D220" i="2"/>
  <c r="F217" i="2"/>
  <c r="F216" i="2"/>
  <c r="D216" i="2"/>
  <c r="F215" i="2"/>
  <c r="D215" i="2"/>
  <c r="F212" i="2"/>
  <c r="F211" i="2"/>
  <c r="D211" i="2"/>
  <c r="F210" i="2"/>
  <c r="D210" i="2"/>
  <c r="F207" i="2"/>
  <c r="F206" i="2"/>
  <c r="D206" i="2"/>
  <c r="F205" i="2"/>
  <c r="D205" i="2"/>
  <c r="F202" i="2"/>
  <c r="F201" i="2"/>
  <c r="D201" i="2"/>
  <c r="F200" i="2"/>
  <c r="D200" i="2"/>
  <c r="F197" i="2"/>
  <c r="F196" i="2"/>
  <c r="D196" i="2"/>
  <c r="F195" i="2"/>
  <c r="D195" i="2"/>
  <c r="F192" i="2"/>
  <c r="F191" i="2"/>
  <c r="D191" i="2"/>
  <c r="F190" i="2"/>
  <c r="D190" i="2"/>
  <c r="F187" i="2"/>
  <c r="F186" i="2"/>
  <c r="D186" i="2"/>
  <c r="F185" i="2"/>
  <c r="D185" i="2"/>
  <c r="F182" i="2"/>
  <c r="F181" i="2"/>
  <c r="D181" i="2"/>
  <c r="F180" i="2"/>
  <c r="D180" i="2"/>
  <c r="F177" i="2"/>
  <c r="F176" i="2"/>
  <c r="D176" i="2"/>
  <c r="F175" i="2"/>
  <c r="D175" i="2"/>
  <c r="F172" i="2"/>
  <c r="F171" i="2"/>
  <c r="D171" i="2"/>
  <c r="F170" i="2"/>
  <c r="D170" i="2"/>
  <c r="F167" i="2"/>
  <c r="F166" i="2"/>
  <c r="D166" i="2"/>
  <c r="F165" i="2"/>
  <c r="D165" i="2"/>
  <c r="F162" i="2"/>
  <c r="F161" i="2"/>
  <c r="D161" i="2"/>
  <c r="F160" i="2"/>
  <c r="D160" i="2"/>
  <c r="F157" i="2"/>
  <c r="F156" i="2"/>
  <c r="D156" i="2"/>
  <c r="F155" i="2"/>
  <c r="D155" i="2"/>
  <c r="F152" i="2"/>
  <c r="F151" i="2"/>
  <c r="D151" i="2"/>
  <c r="F150" i="2"/>
  <c r="D150" i="2"/>
  <c r="F147" i="2"/>
  <c r="F146" i="2"/>
  <c r="D146" i="2"/>
  <c r="F145" i="2"/>
  <c r="D145" i="2"/>
  <c r="F142" i="2"/>
  <c r="F141" i="2"/>
  <c r="D141" i="2"/>
  <c r="F140" i="2"/>
  <c r="D140" i="2"/>
  <c r="F137" i="2"/>
  <c r="F136" i="2"/>
  <c r="D136" i="2"/>
  <c r="F135" i="2"/>
  <c r="D135" i="2"/>
  <c r="F132" i="2"/>
  <c r="F131" i="2"/>
  <c r="D131" i="2"/>
  <c r="F130" i="2"/>
  <c r="D130" i="2"/>
  <c r="F127" i="2"/>
  <c r="F126" i="2"/>
  <c r="D126" i="2"/>
  <c r="F125" i="2"/>
  <c r="D125" i="2"/>
  <c r="F122" i="2"/>
  <c r="F121" i="2"/>
  <c r="D121" i="2"/>
  <c r="F120" i="2"/>
  <c r="D120" i="2"/>
  <c r="F117" i="2"/>
  <c r="F116" i="2"/>
  <c r="D116" i="2"/>
  <c r="F115" i="2"/>
  <c r="D115" i="2"/>
  <c r="F112" i="2"/>
  <c r="F111" i="2"/>
  <c r="D111" i="2"/>
  <c r="F110" i="2"/>
  <c r="D110" i="2"/>
  <c r="F107" i="2"/>
  <c r="F106" i="2"/>
  <c r="D106" i="2"/>
  <c r="F105" i="2"/>
  <c r="D105" i="2"/>
  <c r="F102" i="2"/>
  <c r="F101" i="2"/>
  <c r="D101" i="2"/>
  <c r="F100" i="2"/>
  <c r="D100" i="2"/>
  <c r="F97" i="2"/>
  <c r="F96" i="2"/>
  <c r="D96" i="2"/>
  <c r="F95" i="2"/>
  <c r="D95" i="2"/>
  <c r="F92" i="2"/>
  <c r="F91" i="2"/>
  <c r="D91" i="2"/>
  <c r="F90" i="2"/>
  <c r="D90" i="2"/>
  <c r="F87" i="2"/>
  <c r="F86" i="2"/>
  <c r="D86" i="2"/>
  <c r="F85" i="2"/>
  <c r="D85" i="2"/>
  <c r="F82" i="2"/>
  <c r="F81" i="2"/>
  <c r="D81" i="2"/>
  <c r="F80" i="2"/>
  <c r="D80" i="2"/>
  <c r="F77" i="2"/>
  <c r="F76" i="2"/>
  <c r="D76" i="2"/>
  <c r="F75" i="2"/>
  <c r="D75" i="2"/>
  <c r="F72" i="2"/>
  <c r="F71" i="2"/>
  <c r="D71" i="2"/>
  <c r="F70" i="2"/>
  <c r="D70" i="2"/>
  <c r="F67" i="2"/>
  <c r="F66" i="2"/>
  <c r="D66" i="2"/>
  <c r="F65" i="2"/>
  <c r="D65" i="2"/>
  <c r="F62" i="2"/>
  <c r="F61" i="2"/>
  <c r="D61" i="2"/>
  <c r="F60" i="2"/>
  <c r="D60" i="2"/>
  <c r="F57" i="2"/>
  <c r="F56" i="2"/>
  <c r="D56" i="2"/>
  <c r="F55" i="2"/>
  <c r="D55" i="2"/>
  <c r="F52" i="2"/>
  <c r="F51" i="2"/>
  <c r="D51" i="2"/>
  <c r="F50" i="2"/>
  <c r="D50" i="2"/>
  <c r="F47" i="2"/>
  <c r="F46" i="2"/>
  <c r="D46" i="2"/>
  <c r="F45" i="2"/>
  <c r="D45" i="2"/>
  <c r="F42" i="2"/>
  <c r="F41" i="2"/>
  <c r="D41" i="2"/>
  <c r="F40" i="2"/>
  <c r="D40" i="2"/>
  <c r="F37" i="2"/>
  <c r="F36" i="2"/>
  <c r="D36" i="2"/>
  <c r="F35" i="2"/>
  <c r="D35" i="2"/>
  <c r="F32" i="2"/>
  <c r="F31" i="2"/>
  <c r="D31" i="2"/>
  <c r="F30" i="2"/>
  <c r="D30" i="2"/>
  <c r="F27" i="2"/>
  <c r="F26" i="2"/>
  <c r="D26" i="2"/>
  <c r="F25" i="2"/>
  <c r="D25" i="2"/>
  <c r="F22" i="2"/>
  <c r="F21" i="2"/>
  <c r="D21" i="2"/>
  <c r="F20" i="2"/>
  <c r="D20" i="2"/>
  <c r="F17" i="2"/>
  <c r="F16" i="2"/>
  <c r="D16" i="2"/>
  <c r="F15" i="2"/>
  <c r="D15" i="2"/>
  <c r="F1142" i="1"/>
  <c r="F1141" i="1"/>
  <c r="D1141" i="1"/>
  <c r="F1140" i="1"/>
  <c r="D1140" i="1"/>
  <c r="F1137" i="1"/>
  <c r="F1136" i="1"/>
  <c r="D1136" i="1"/>
  <c r="F1135" i="1"/>
  <c r="D1135" i="1"/>
  <c r="F1132" i="1"/>
  <c r="F1131" i="1"/>
  <c r="D1131" i="1"/>
  <c r="F1130" i="1"/>
  <c r="D1130" i="1"/>
  <c r="F1127" i="1"/>
  <c r="F1126" i="1"/>
  <c r="D1126" i="1"/>
  <c r="F1125" i="1"/>
  <c r="D1125" i="1"/>
  <c r="F1122" i="1"/>
  <c r="F1121" i="1"/>
  <c r="D1121" i="1"/>
  <c r="F1120" i="1"/>
  <c r="D1120" i="1"/>
  <c r="F1117" i="1"/>
  <c r="F1116" i="1"/>
  <c r="D1116" i="1"/>
  <c r="F1115" i="1"/>
  <c r="D1115" i="1"/>
  <c r="F1112" i="1"/>
  <c r="F1111" i="1"/>
  <c r="D1111" i="1"/>
  <c r="F1110" i="1"/>
  <c r="D1110" i="1"/>
  <c r="F1107" i="1"/>
  <c r="F1106" i="1"/>
  <c r="D1106" i="1"/>
  <c r="F1105" i="1"/>
  <c r="D1105" i="1"/>
  <c r="F1102" i="1"/>
  <c r="F1101" i="1"/>
  <c r="D1101" i="1"/>
  <c r="F1100" i="1"/>
  <c r="D1100" i="1"/>
  <c r="F1097" i="1"/>
  <c r="F1096" i="1"/>
  <c r="D1096" i="1"/>
  <c r="F1095" i="1"/>
  <c r="D1095" i="1"/>
  <c r="F1092" i="1"/>
  <c r="F1091" i="1"/>
  <c r="D1091" i="1"/>
  <c r="F1090" i="1"/>
  <c r="D1090" i="1"/>
  <c r="F1087" i="1"/>
  <c r="F1086" i="1"/>
  <c r="D1086" i="1"/>
  <c r="F1085" i="1"/>
  <c r="D1085" i="1"/>
  <c r="F1082" i="1"/>
  <c r="F1081" i="1"/>
  <c r="D1081" i="1"/>
  <c r="F1080" i="1"/>
  <c r="D1080" i="1"/>
  <c r="F1077" i="1"/>
  <c r="F1076" i="1"/>
  <c r="D1076" i="1"/>
  <c r="F1075" i="1"/>
  <c r="D1075" i="1"/>
  <c r="F1072" i="1"/>
  <c r="F1071" i="1"/>
  <c r="D1071" i="1"/>
  <c r="F1070" i="1"/>
  <c r="D1070" i="1"/>
  <c r="F1067" i="1"/>
  <c r="F1066" i="1"/>
  <c r="D1066" i="1"/>
  <c r="F1065" i="1"/>
  <c r="D1065" i="1"/>
  <c r="F1062" i="1"/>
  <c r="F1061" i="1"/>
  <c r="D1061" i="1"/>
  <c r="F1060" i="1"/>
  <c r="D1060" i="1"/>
  <c r="F1057" i="1"/>
  <c r="F1056" i="1"/>
  <c r="D1056" i="1"/>
  <c r="F1055" i="1"/>
  <c r="D1055" i="1"/>
  <c r="F1052" i="1"/>
  <c r="F1051" i="1"/>
  <c r="D1051" i="1"/>
  <c r="F1050" i="1"/>
  <c r="D1050" i="1"/>
  <c r="F1047" i="1"/>
  <c r="F1046" i="1"/>
  <c r="D1046" i="1"/>
  <c r="F1045" i="1"/>
  <c r="D1045" i="1"/>
  <c r="F1042" i="1"/>
  <c r="F1041" i="1"/>
  <c r="D1041" i="1"/>
  <c r="F1040" i="1"/>
  <c r="D1040" i="1"/>
  <c r="F1037" i="1"/>
  <c r="F1036" i="1"/>
  <c r="D1036" i="1"/>
  <c r="F1035" i="1"/>
  <c r="D1035" i="1"/>
  <c r="F1032" i="1"/>
  <c r="F1031" i="1"/>
  <c r="D1031" i="1"/>
  <c r="F1030" i="1"/>
  <c r="D1030" i="1"/>
  <c r="F1027" i="1"/>
  <c r="F1026" i="1"/>
  <c r="D1026" i="1"/>
  <c r="F1025" i="1"/>
  <c r="D1025" i="1"/>
  <c r="F1022" i="1"/>
  <c r="F1021" i="1"/>
  <c r="D1021" i="1"/>
  <c r="F1020" i="1"/>
  <c r="D1020" i="1"/>
  <c r="F1017" i="1"/>
  <c r="F1016" i="1"/>
  <c r="D1016" i="1"/>
  <c r="F1015" i="1"/>
  <c r="D1015" i="1"/>
  <c r="F1012" i="1"/>
  <c r="F1011" i="1"/>
  <c r="D1011" i="1"/>
  <c r="F1010" i="1"/>
  <c r="D1010" i="1"/>
  <c r="F1007" i="1"/>
  <c r="F1006" i="1"/>
  <c r="D1006" i="1"/>
  <c r="F1005" i="1"/>
  <c r="D1005" i="1"/>
  <c r="F1002" i="1"/>
  <c r="F1001" i="1"/>
  <c r="D1001" i="1"/>
  <c r="F1000" i="1"/>
  <c r="D1000" i="1"/>
  <c r="F997" i="1"/>
  <c r="F996" i="1"/>
  <c r="D996" i="1"/>
  <c r="F995" i="1"/>
  <c r="D995" i="1"/>
  <c r="F992" i="1"/>
  <c r="F991" i="1"/>
  <c r="D991" i="1"/>
  <c r="F990" i="1"/>
  <c r="D990" i="1"/>
  <c r="F987" i="1"/>
  <c r="F986" i="1"/>
  <c r="D986" i="1"/>
  <c r="F985" i="1"/>
  <c r="D985" i="1"/>
  <c r="F982" i="1"/>
  <c r="F981" i="1"/>
  <c r="D981" i="1"/>
  <c r="F980" i="1"/>
  <c r="D980" i="1"/>
  <c r="F977" i="1"/>
  <c r="F976" i="1"/>
  <c r="D976" i="1"/>
  <c r="F975" i="1"/>
  <c r="D975" i="1"/>
  <c r="F972" i="1"/>
  <c r="F971" i="1"/>
  <c r="D971" i="1"/>
  <c r="F970" i="1"/>
  <c r="D970" i="1"/>
  <c r="F967" i="1"/>
  <c r="F966" i="1"/>
  <c r="D966" i="1"/>
  <c r="F965" i="1"/>
  <c r="D965" i="1"/>
  <c r="F962" i="1"/>
  <c r="F961" i="1"/>
  <c r="D961" i="1"/>
  <c r="F960" i="1"/>
  <c r="D960" i="1"/>
  <c r="F957" i="1"/>
  <c r="F956" i="1"/>
  <c r="D956" i="1"/>
  <c r="F955" i="1"/>
  <c r="D955" i="1"/>
  <c r="F952" i="1"/>
  <c r="F951" i="1"/>
  <c r="D951" i="1"/>
  <c r="F950" i="1"/>
  <c r="D950" i="1"/>
  <c r="F947" i="1"/>
  <c r="F946" i="1"/>
  <c r="D946" i="1"/>
  <c r="F945" i="1"/>
  <c r="D945" i="1"/>
  <c r="F942" i="1"/>
  <c r="F941" i="1"/>
  <c r="D941" i="1"/>
  <c r="F940" i="1"/>
  <c r="D940" i="1"/>
  <c r="F937" i="1"/>
  <c r="F936" i="1"/>
  <c r="D936" i="1"/>
  <c r="F935" i="1"/>
  <c r="D935" i="1"/>
  <c r="F932" i="1"/>
  <c r="F931" i="1"/>
  <c r="D931" i="1"/>
  <c r="F930" i="1"/>
  <c r="D930" i="1"/>
  <c r="F927" i="1"/>
  <c r="F926" i="1"/>
  <c r="D926" i="1"/>
  <c r="F925" i="1"/>
  <c r="D925" i="1"/>
  <c r="F922" i="1"/>
  <c r="F921" i="1"/>
  <c r="D921" i="1"/>
  <c r="F920" i="1"/>
  <c r="D920" i="1"/>
  <c r="F917" i="1"/>
  <c r="F916" i="1"/>
  <c r="D916" i="1"/>
  <c r="F915" i="1"/>
  <c r="D915" i="1"/>
  <c r="F912" i="1"/>
  <c r="F911" i="1"/>
  <c r="D911" i="1"/>
  <c r="F910" i="1"/>
  <c r="D910" i="1"/>
  <c r="F907" i="1"/>
  <c r="F906" i="1"/>
  <c r="D906" i="1"/>
  <c r="F905" i="1"/>
  <c r="D905" i="1"/>
  <c r="F902" i="1"/>
  <c r="F901" i="1"/>
  <c r="D901" i="1"/>
  <c r="F900" i="1"/>
  <c r="D900" i="1"/>
  <c r="F897" i="1"/>
  <c r="F896" i="1"/>
  <c r="D896" i="1"/>
  <c r="F895" i="1"/>
  <c r="D895" i="1"/>
  <c r="F892" i="1"/>
  <c r="F891" i="1"/>
  <c r="D891" i="1"/>
  <c r="F890" i="1"/>
  <c r="D890" i="1"/>
  <c r="F887" i="1"/>
  <c r="F886" i="1"/>
  <c r="D886" i="1"/>
  <c r="F885" i="1"/>
  <c r="D885" i="1"/>
  <c r="F882" i="1"/>
  <c r="F881" i="1"/>
  <c r="D881" i="1"/>
  <c r="F880" i="1"/>
  <c r="D880" i="1"/>
  <c r="F877" i="1"/>
  <c r="F876" i="1"/>
  <c r="D876" i="1"/>
  <c r="F875" i="1"/>
  <c r="D875" i="1"/>
  <c r="F872" i="1"/>
  <c r="F871" i="1"/>
  <c r="D871" i="1"/>
  <c r="F870" i="1"/>
  <c r="D870" i="1"/>
  <c r="F867" i="1"/>
  <c r="F866" i="1"/>
  <c r="D866" i="1"/>
  <c r="F865" i="1"/>
  <c r="D865" i="1"/>
  <c r="F862" i="1"/>
  <c r="F861" i="1"/>
  <c r="D861" i="1"/>
  <c r="F860" i="1"/>
  <c r="D860" i="1"/>
  <c r="F857" i="1"/>
  <c r="F856" i="1"/>
  <c r="D856" i="1"/>
  <c r="F855" i="1"/>
  <c r="D855" i="1"/>
  <c r="F852" i="1"/>
  <c r="F851" i="1"/>
  <c r="D851" i="1"/>
  <c r="F850" i="1"/>
  <c r="D850" i="1"/>
  <c r="F847" i="1"/>
  <c r="F846" i="1"/>
  <c r="D846" i="1"/>
  <c r="F845" i="1"/>
  <c r="D845" i="1"/>
  <c r="F842" i="1"/>
  <c r="F841" i="1"/>
  <c r="D841" i="1"/>
  <c r="F840" i="1"/>
  <c r="D840" i="1"/>
  <c r="F837" i="1"/>
  <c r="F836" i="1"/>
  <c r="D836" i="1"/>
  <c r="F835" i="1"/>
  <c r="D835" i="1"/>
  <c r="F832" i="1"/>
  <c r="F831" i="1"/>
  <c r="D831" i="1"/>
  <c r="F830" i="1"/>
  <c r="D830" i="1"/>
  <c r="F827" i="1"/>
  <c r="F826" i="1"/>
  <c r="D826" i="1"/>
  <c r="F825" i="1"/>
  <c r="D825" i="1"/>
  <c r="F822" i="1"/>
  <c r="F821" i="1"/>
  <c r="D821" i="1"/>
  <c r="F820" i="1"/>
  <c r="D820" i="1"/>
  <c r="F817" i="1"/>
  <c r="F816" i="1"/>
  <c r="D816" i="1"/>
  <c r="F815" i="1"/>
  <c r="D815" i="1"/>
  <c r="F812" i="1"/>
  <c r="F811" i="1"/>
  <c r="D811" i="1"/>
  <c r="F810" i="1"/>
  <c r="D810" i="1"/>
  <c r="F807" i="1"/>
  <c r="F806" i="1"/>
  <c r="D806" i="1"/>
  <c r="F805" i="1"/>
  <c r="D805" i="1"/>
  <c r="F802" i="1"/>
  <c r="F801" i="1"/>
  <c r="D801" i="1"/>
  <c r="F800" i="1"/>
  <c r="D800" i="1"/>
  <c r="F797" i="1"/>
  <c r="F796" i="1"/>
  <c r="D796" i="1"/>
  <c r="F795" i="1"/>
  <c r="D795" i="1"/>
  <c r="F792" i="1"/>
  <c r="F791" i="1"/>
  <c r="D791" i="1"/>
  <c r="F790" i="1"/>
  <c r="D790" i="1"/>
  <c r="F787" i="1"/>
  <c r="F786" i="1"/>
  <c r="D786" i="1"/>
  <c r="F785" i="1"/>
  <c r="D785" i="1"/>
  <c r="F782" i="1"/>
  <c r="F781" i="1"/>
  <c r="D781" i="1"/>
  <c r="F780" i="1"/>
  <c r="D780" i="1"/>
  <c r="F777" i="1"/>
  <c r="F776" i="1"/>
  <c r="D776" i="1"/>
  <c r="F775" i="1"/>
  <c r="D775" i="1"/>
  <c r="F772" i="1"/>
  <c r="F771" i="1"/>
  <c r="D771" i="1"/>
  <c r="F770" i="1"/>
  <c r="D770" i="1"/>
  <c r="F767" i="1"/>
  <c r="F766" i="1"/>
  <c r="D766" i="1"/>
  <c r="F765" i="1"/>
  <c r="D765" i="1"/>
  <c r="F762" i="1"/>
  <c r="F761" i="1"/>
  <c r="D761" i="1"/>
  <c r="F760" i="1"/>
  <c r="D760" i="1"/>
  <c r="F757" i="1"/>
  <c r="F756" i="1"/>
  <c r="D756" i="1"/>
  <c r="F755" i="1"/>
  <c r="D755" i="1"/>
  <c r="F752" i="1"/>
  <c r="F751" i="1"/>
  <c r="D751" i="1"/>
  <c r="F750" i="1"/>
  <c r="D750" i="1"/>
  <c r="F747" i="1"/>
  <c r="F746" i="1"/>
  <c r="D746" i="1"/>
  <c r="F745" i="1"/>
  <c r="D745" i="1"/>
  <c r="F742" i="1"/>
  <c r="F741" i="1"/>
  <c r="D741" i="1"/>
  <c r="F740" i="1"/>
  <c r="D740" i="1"/>
  <c r="F737" i="1"/>
  <c r="F736" i="1"/>
  <c r="D736" i="1"/>
  <c r="F735" i="1"/>
  <c r="D735" i="1"/>
  <c r="F732" i="1"/>
  <c r="F731" i="1"/>
  <c r="D731" i="1"/>
  <c r="F730" i="1"/>
  <c r="D730" i="1"/>
  <c r="F727" i="1"/>
  <c r="F726" i="1"/>
  <c r="D726" i="1"/>
  <c r="F725" i="1"/>
  <c r="D725" i="1"/>
  <c r="F722" i="1"/>
  <c r="F721" i="1"/>
  <c r="D721" i="1"/>
  <c r="F720" i="1"/>
  <c r="D720" i="1"/>
  <c r="F717" i="1"/>
  <c r="F716" i="1"/>
  <c r="D716" i="1"/>
  <c r="F715" i="1"/>
  <c r="D715" i="1"/>
  <c r="F712" i="1"/>
  <c r="F711" i="1"/>
  <c r="D711" i="1"/>
  <c r="F710" i="1"/>
  <c r="D710" i="1"/>
  <c r="F707" i="1"/>
  <c r="F706" i="1"/>
  <c r="D706" i="1"/>
  <c r="F705" i="1"/>
  <c r="D705" i="1"/>
  <c r="F702" i="1"/>
  <c r="F701" i="1"/>
  <c r="D701" i="1"/>
  <c r="F700" i="1"/>
  <c r="D700" i="1"/>
  <c r="F697" i="1"/>
  <c r="F696" i="1"/>
  <c r="D696" i="1"/>
  <c r="F695" i="1"/>
  <c r="D695" i="1"/>
  <c r="F692" i="1"/>
  <c r="F691" i="1"/>
  <c r="D691" i="1"/>
  <c r="F690" i="1"/>
  <c r="D690" i="1"/>
  <c r="F687" i="1"/>
  <c r="F686" i="1"/>
  <c r="D686" i="1"/>
  <c r="F685" i="1"/>
  <c r="D685" i="1"/>
  <c r="F682" i="1"/>
  <c r="F681" i="1"/>
  <c r="D681" i="1"/>
  <c r="F680" i="1"/>
  <c r="D680" i="1"/>
  <c r="F677" i="1"/>
  <c r="F676" i="1"/>
  <c r="D676" i="1"/>
  <c r="F675" i="1"/>
  <c r="D675" i="1"/>
  <c r="F672" i="1"/>
  <c r="F671" i="1"/>
  <c r="D671" i="1"/>
  <c r="F670" i="1"/>
  <c r="D670" i="1"/>
  <c r="F667" i="1"/>
  <c r="F666" i="1"/>
  <c r="D666" i="1"/>
  <c r="F665" i="1"/>
  <c r="D665" i="1"/>
  <c r="F662" i="1"/>
  <c r="F661" i="1"/>
  <c r="D661" i="1"/>
  <c r="F660" i="1"/>
  <c r="D660" i="1"/>
  <c r="F657" i="1"/>
  <c r="F656" i="1"/>
  <c r="D656" i="1"/>
  <c r="F655" i="1"/>
  <c r="D655" i="1"/>
  <c r="F652" i="1"/>
  <c r="F651" i="1"/>
  <c r="D651" i="1"/>
  <c r="F650" i="1"/>
  <c r="D650" i="1"/>
  <c r="F647" i="1"/>
  <c r="F646" i="1"/>
  <c r="D646" i="1"/>
  <c r="F645" i="1"/>
  <c r="D645" i="1"/>
  <c r="F642" i="1"/>
  <c r="F641" i="1"/>
  <c r="D641" i="1"/>
  <c r="F640" i="1"/>
  <c r="D640" i="1"/>
  <c r="F637" i="1"/>
  <c r="F636" i="1"/>
  <c r="D636" i="1"/>
  <c r="F635" i="1"/>
  <c r="D635" i="1"/>
  <c r="F632" i="1"/>
  <c r="F631" i="1"/>
  <c r="D631" i="1"/>
  <c r="F630" i="1"/>
  <c r="D630" i="1"/>
  <c r="F627" i="1"/>
  <c r="F626" i="1"/>
  <c r="D626" i="1"/>
  <c r="F625" i="1"/>
  <c r="D625" i="1"/>
  <c r="F622" i="1"/>
  <c r="F621" i="1"/>
  <c r="D621" i="1"/>
  <c r="F620" i="1"/>
  <c r="D620" i="1"/>
  <c r="F617" i="1"/>
  <c r="F616" i="1"/>
  <c r="D616" i="1"/>
  <c r="F615" i="1"/>
  <c r="D615" i="1"/>
  <c r="F612" i="1"/>
  <c r="F611" i="1"/>
  <c r="D611" i="1"/>
  <c r="F610" i="1"/>
  <c r="D610" i="1"/>
  <c r="F607" i="1"/>
  <c r="F606" i="1"/>
  <c r="D606" i="1"/>
  <c r="F605" i="1"/>
  <c r="D605" i="1"/>
  <c r="F602" i="1"/>
  <c r="F601" i="1"/>
  <c r="D601" i="1"/>
  <c r="F600" i="1"/>
  <c r="D600" i="1"/>
  <c r="F597" i="1"/>
  <c r="F596" i="1"/>
  <c r="D596" i="1"/>
  <c r="F595" i="1"/>
  <c r="D595" i="1"/>
  <c r="F592" i="1"/>
  <c r="F591" i="1"/>
  <c r="D591" i="1"/>
  <c r="F590" i="1"/>
  <c r="D590" i="1"/>
  <c r="F587" i="1"/>
  <c r="F586" i="1"/>
  <c r="D586" i="1"/>
  <c r="F585" i="1"/>
  <c r="D585" i="1"/>
  <c r="F582" i="1"/>
  <c r="F581" i="1"/>
  <c r="D581" i="1"/>
  <c r="F580" i="1"/>
  <c r="D580" i="1"/>
  <c r="F577" i="1"/>
  <c r="F576" i="1"/>
  <c r="D576" i="1"/>
  <c r="F575" i="1"/>
  <c r="D575" i="1"/>
  <c r="F572" i="1"/>
  <c r="F571" i="1"/>
  <c r="D571" i="1"/>
  <c r="F570" i="1"/>
  <c r="D570" i="1"/>
  <c r="F567" i="1"/>
  <c r="F566" i="1"/>
  <c r="D566" i="1"/>
  <c r="F565" i="1"/>
  <c r="D565" i="1"/>
  <c r="F562" i="1"/>
  <c r="F561" i="1"/>
  <c r="D561" i="1"/>
  <c r="F560" i="1"/>
  <c r="D560" i="1"/>
  <c r="F557" i="1"/>
  <c r="F556" i="1"/>
  <c r="D556" i="1"/>
  <c r="F555" i="1"/>
  <c r="D555" i="1"/>
  <c r="F552" i="1"/>
  <c r="F551" i="1"/>
  <c r="D551" i="1"/>
  <c r="F550" i="1"/>
  <c r="D550" i="1"/>
  <c r="F547" i="1"/>
  <c r="F546" i="1"/>
  <c r="D546" i="1"/>
  <c r="F545" i="1"/>
  <c r="D545" i="1"/>
  <c r="F542" i="1"/>
  <c r="F541" i="1"/>
  <c r="D541" i="1"/>
  <c r="F540" i="1"/>
  <c r="D540" i="1"/>
  <c r="F537" i="1"/>
  <c r="F536" i="1"/>
  <c r="D536" i="1"/>
  <c r="F535" i="1"/>
  <c r="D535" i="1"/>
  <c r="F532" i="1"/>
  <c r="F531" i="1"/>
  <c r="D531" i="1"/>
  <c r="F530" i="1"/>
  <c r="D530" i="1"/>
  <c r="F527" i="1"/>
  <c r="F526" i="1"/>
  <c r="D526" i="1"/>
  <c r="F525" i="1"/>
  <c r="D525" i="1"/>
  <c r="F522" i="1"/>
  <c r="F521" i="1"/>
  <c r="D521" i="1"/>
  <c r="F520" i="1"/>
  <c r="D520" i="1"/>
  <c r="F517" i="1"/>
  <c r="F516" i="1"/>
  <c r="D516" i="1"/>
  <c r="F515" i="1"/>
  <c r="D515" i="1"/>
  <c r="F512" i="1"/>
  <c r="F511" i="1"/>
  <c r="D511" i="1"/>
  <c r="F510" i="1"/>
  <c r="D510" i="1"/>
  <c r="F507" i="1"/>
  <c r="F506" i="1"/>
  <c r="D506" i="1"/>
  <c r="F505" i="1"/>
  <c r="D505" i="1"/>
  <c r="F502" i="1"/>
  <c r="F501" i="1"/>
  <c r="D501" i="1"/>
  <c r="F500" i="1"/>
  <c r="D500" i="1"/>
  <c r="F497" i="1"/>
  <c r="F496" i="1"/>
  <c r="D496" i="1"/>
  <c r="F495" i="1"/>
  <c r="D495" i="1"/>
  <c r="F492" i="1"/>
  <c r="F491" i="1"/>
  <c r="D491" i="1"/>
  <c r="F490" i="1"/>
  <c r="D490" i="1"/>
  <c r="F487" i="1"/>
  <c r="F486" i="1"/>
  <c r="D486" i="1"/>
  <c r="F485" i="1"/>
  <c r="D485" i="1"/>
  <c r="F482" i="1"/>
  <c r="F481" i="1"/>
  <c r="D481" i="1"/>
  <c r="F480" i="1"/>
  <c r="D480" i="1"/>
  <c r="F477" i="1"/>
  <c r="F476" i="1"/>
  <c r="D476" i="1"/>
  <c r="F475" i="1"/>
  <c r="D475" i="1"/>
  <c r="F472" i="1"/>
  <c r="F471" i="1"/>
  <c r="D471" i="1"/>
  <c r="F470" i="1"/>
  <c r="D470" i="1"/>
  <c r="F467" i="1"/>
  <c r="F466" i="1"/>
  <c r="D466" i="1"/>
  <c r="F465" i="1"/>
  <c r="D465" i="1"/>
  <c r="F462" i="1"/>
  <c r="F461" i="1"/>
  <c r="D461" i="1"/>
  <c r="F460" i="1"/>
  <c r="D460" i="1"/>
  <c r="F457" i="1"/>
  <c r="F456" i="1"/>
  <c r="D456" i="1"/>
  <c r="F455" i="1"/>
  <c r="D455" i="1"/>
  <c r="F452" i="1"/>
  <c r="F451" i="1"/>
  <c r="D451" i="1"/>
  <c r="F450" i="1"/>
  <c r="D450" i="1"/>
  <c r="F447" i="1"/>
  <c r="F446" i="1"/>
  <c r="D446" i="1"/>
  <c r="F445" i="1"/>
  <c r="D445" i="1"/>
  <c r="F442" i="1"/>
  <c r="F441" i="1"/>
  <c r="D441" i="1"/>
  <c r="F440" i="1"/>
  <c r="D440" i="1"/>
  <c r="F437" i="1"/>
  <c r="F436" i="1"/>
  <c r="D436" i="1"/>
  <c r="F435" i="1"/>
  <c r="D435" i="1"/>
  <c r="F432" i="1"/>
  <c r="F431" i="1"/>
  <c r="D431" i="1"/>
  <c r="F430" i="1"/>
  <c r="D430" i="1"/>
  <c r="F427" i="1"/>
  <c r="F426" i="1"/>
  <c r="D426" i="1"/>
  <c r="F425" i="1"/>
  <c r="D425" i="1"/>
  <c r="F422" i="1"/>
  <c r="F421" i="1"/>
  <c r="D421" i="1"/>
  <c r="F420" i="1"/>
  <c r="D420" i="1"/>
  <c r="F417" i="1"/>
  <c r="F416" i="1"/>
  <c r="D416" i="1"/>
  <c r="F415" i="1"/>
  <c r="D415" i="1"/>
  <c r="F412" i="1"/>
  <c r="F411" i="1"/>
  <c r="D411" i="1"/>
  <c r="F410" i="1"/>
  <c r="D410" i="1"/>
  <c r="F407" i="1"/>
  <c r="F406" i="1"/>
  <c r="D406" i="1"/>
  <c r="F405" i="1"/>
  <c r="D405" i="1"/>
  <c r="F402" i="1"/>
  <c r="F401" i="1"/>
  <c r="D401" i="1"/>
  <c r="F400" i="1"/>
  <c r="D400" i="1"/>
  <c r="F397" i="1"/>
  <c r="F396" i="1"/>
  <c r="D396" i="1"/>
  <c r="F395" i="1"/>
  <c r="D395" i="1"/>
  <c r="F392" i="1"/>
  <c r="F391" i="1"/>
  <c r="D391" i="1"/>
  <c r="F390" i="1"/>
  <c r="D390" i="1"/>
  <c r="F387" i="1"/>
  <c r="F386" i="1"/>
  <c r="D386" i="1"/>
  <c r="F385" i="1"/>
  <c r="D385" i="1"/>
  <c r="F382" i="1"/>
  <c r="F381" i="1"/>
  <c r="D381" i="1"/>
  <c r="F380" i="1"/>
  <c r="D380" i="1"/>
  <c r="F377" i="1"/>
  <c r="F376" i="1"/>
  <c r="D376" i="1"/>
  <c r="F375" i="1"/>
  <c r="D375" i="1"/>
  <c r="F372" i="1"/>
  <c r="F371" i="1"/>
  <c r="D371" i="1"/>
  <c r="F370" i="1"/>
  <c r="D370" i="1"/>
  <c r="F367" i="1"/>
  <c r="F366" i="1"/>
  <c r="D366" i="1"/>
  <c r="F365" i="1"/>
  <c r="D365" i="1"/>
  <c r="F362" i="1"/>
  <c r="F361" i="1"/>
  <c r="D361" i="1"/>
  <c r="F360" i="1"/>
  <c r="D360" i="1"/>
  <c r="F357" i="1"/>
  <c r="F356" i="1"/>
  <c r="D356" i="1"/>
  <c r="F355" i="1"/>
  <c r="D355" i="1"/>
  <c r="F352" i="1"/>
  <c r="F351" i="1"/>
  <c r="D351" i="1"/>
  <c r="F350" i="1"/>
  <c r="D350" i="1"/>
  <c r="F347" i="1"/>
  <c r="F346" i="1"/>
  <c r="D346" i="1"/>
  <c r="F345" i="1"/>
  <c r="D345" i="1"/>
  <c r="F342" i="1"/>
  <c r="F341" i="1"/>
  <c r="D341" i="1"/>
  <c r="F340" i="1"/>
  <c r="D340" i="1"/>
  <c r="F337" i="1"/>
  <c r="F336" i="1"/>
  <c r="D336" i="1"/>
  <c r="F335" i="1"/>
  <c r="D335" i="1"/>
  <c r="F332" i="1"/>
  <c r="F331" i="1"/>
  <c r="D331" i="1"/>
  <c r="F330" i="1"/>
  <c r="D330" i="1"/>
  <c r="F327" i="1"/>
  <c r="F326" i="1"/>
  <c r="D326" i="1"/>
  <c r="F325" i="1"/>
  <c r="D325" i="1"/>
  <c r="F322" i="1"/>
  <c r="F321" i="1"/>
  <c r="D321" i="1"/>
  <c r="F320" i="1"/>
  <c r="D320" i="1"/>
  <c r="F317" i="1"/>
  <c r="F316" i="1"/>
  <c r="D316" i="1"/>
  <c r="F315" i="1"/>
  <c r="D315" i="1"/>
  <c r="F312" i="1"/>
  <c r="F311" i="1"/>
  <c r="D311" i="1"/>
  <c r="F310" i="1"/>
  <c r="D310" i="1"/>
  <c r="F307" i="1"/>
  <c r="F306" i="1"/>
  <c r="D306" i="1"/>
  <c r="F305" i="1"/>
  <c r="D305" i="1"/>
  <c r="F302" i="1"/>
  <c r="F301" i="1"/>
  <c r="D301" i="1"/>
  <c r="F300" i="1"/>
  <c r="D300" i="1"/>
  <c r="F297" i="1"/>
  <c r="F296" i="1"/>
  <c r="D296" i="1"/>
  <c r="F295" i="1"/>
  <c r="D295" i="1"/>
  <c r="F292" i="1"/>
  <c r="F291" i="1"/>
  <c r="D291" i="1"/>
  <c r="F290" i="1"/>
  <c r="D290" i="1"/>
  <c r="F287" i="1"/>
  <c r="F286" i="1"/>
  <c r="D286" i="1"/>
  <c r="F285" i="1"/>
  <c r="D285" i="1"/>
  <c r="F282" i="1"/>
  <c r="F281" i="1"/>
  <c r="D281" i="1"/>
  <c r="F280" i="1"/>
  <c r="D280" i="1"/>
  <c r="F277" i="1"/>
  <c r="F276" i="1"/>
  <c r="D276" i="1"/>
  <c r="F275" i="1"/>
  <c r="D275" i="1"/>
  <c r="F272" i="1"/>
  <c r="F271" i="1"/>
  <c r="D271" i="1"/>
  <c r="F270" i="1"/>
  <c r="D270" i="1"/>
  <c r="F267" i="1"/>
  <c r="F266" i="1"/>
  <c r="D266" i="1"/>
  <c r="F265" i="1"/>
  <c r="D265" i="1"/>
  <c r="F262" i="1"/>
  <c r="F261" i="1"/>
  <c r="D261" i="1"/>
  <c r="F260" i="1"/>
  <c r="D260" i="1"/>
  <c r="F257" i="1"/>
  <c r="F256" i="1"/>
  <c r="D256" i="1"/>
  <c r="F255" i="1"/>
  <c r="D255" i="1"/>
  <c r="F252" i="1"/>
  <c r="F251" i="1"/>
  <c r="D251" i="1"/>
  <c r="F250" i="1"/>
  <c r="D250" i="1"/>
  <c r="F247" i="1"/>
  <c r="F246" i="1"/>
  <c r="D246" i="1"/>
  <c r="F245" i="1"/>
  <c r="D245" i="1"/>
  <c r="F242" i="1"/>
  <c r="F241" i="1"/>
  <c r="D241" i="1"/>
  <c r="F240" i="1"/>
  <c r="D240" i="1"/>
  <c r="F237" i="1"/>
  <c r="F236" i="1"/>
  <c r="D236" i="1"/>
  <c r="F235" i="1"/>
  <c r="D235" i="1"/>
  <c r="F232" i="1"/>
  <c r="F231" i="1"/>
  <c r="D231" i="1"/>
  <c r="F230" i="1"/>
  <c r="D230" i="1"/>
  <c r="F227" i="1"/>
  <c r="F226" i="1"/>
  <c r="D226" i="1"/>
  <c r="F225" i="1"/>
  <c r="D225" i="1"/>
  <c r="F222" i="1"/>
  <c r="F221" i="1"/>
  <c r="D221" i="1"/>
  <c r="F220" i="1"/>
  <c r="D220" i="1"/>
  <c r="F217" i="1"/>
  <c r="F216" i="1"/>
  <c r="D216" i="1"/>
  <c r="F215" i="1"/>
  <c r="D215" i="1"/>
  <c r="F212" i="1"/>
  <c r="F211" i="1"/>
  <c r="D211" i="1"/>
  <c r="F210" i="1"/>
  <c r="D210" i="1"/>
  <c r="F207" i="1"/>
  <c r="F206" i="1"/>
  <c r="D206" i="1"/>
  <c r="F205" i="1"/>
  <c r="D205" i="1"/>
  <c r="F202" i="1"/>
  <c r="F201" i="1"/>
  <c r="D201" i="1"/>
  <c r="F200" i="1"/>
  <c r="D200" i="1"/>
  <c r="F197" i="1"/>
  <c r="F196" i="1"/>
  <c r="D196" i="1"/>
  <c r="F195" i="1"/>
  <c r="D195" i="1"/>
  <c r="F192" i="1"/>
  <c r="F191" i="1"/>
  <c r="D191" i="1"/>
  <c r="F190" i="1"/>
  <c r="D190" i="1"/>
  <c r="F187" i="1"/>
  <c r="F186" i="1"/>
  <c r="D186" i="1"/>
  <c r="F185" i="1"/>
  <c r="D185" i="1"/>
  <c r="F182" i="1"/>
  <c r="F181" i="1"/>
  <c r="D181" i="1"/>
  <c r="F180" i="1"/>
  <c r="D180" i="1"/>
  <c r="F177" i="1"/>
  <c r="F176" i="1"/>
  <c r="D176" i="1"/>
  <c r="F175" i="1"/>
  <c r="D175" i="1"/>
  <c r="F172" i="1"/>
  <c r="F171" i="1"/>
  <c r="D171" i="1"/>
  <c r="F170" i="1"/>
  <c r="D170" i="1"/>
  <c r="F167" i="1"/>
  <c r="F166" i="1"/>
  <c r="D166" i="1"/>
  <c r="F165" i="1"/>
  <c r="D165" i="1"/>
  <c r="F162" i="1"/>
  <c r="F161" i="1"/>
  <c r="D161" i="1"/>
  <c r="F160" i="1"/>
  <c r="D160" i="1"/>
  <c r="F157" i="1"/>
  <c r="F156" i="1"/>
  <c r="D156" i="1"/>
  <c r="F155" i="1"/>
  <c r="D155" i="1"/>
  <c r="F152" i="1"/>
  <c r="F151" i="1"/>
  <c r="D151" i="1"/>
  <c r="F150" i="1"/>
  <c r="D150" i="1"/>
  <c r="F147" i="1"/>
  <c r="F146" i="1"/>
  <c r="D146" i="1"/>
  <c r="F145" i="1"/>
  <c r="D145" i="1"/>
  <c r="F142" i="1"/>
  <c r="F141" i="1"/>
  <c r="D141" i="1"/>
  <c r="F140" i="1"/>
  <c r="D140" i="1"/>
  <c r="F137" i="1"/>
  <c r="F136" i="1"/>
  <c r="D136" i="1"/>
  <c r="F135" i="1"/>
  <c r="D135" i="1"/>
  <c r="F132" i="1"/>
  <c r="F131" i="1"/>
  <c r="D131" i="1"/>
  <c r="F130" i="1"/>
  <c r="D130" i="1"/>
  <c r="F127" i="1"/>
  <c r="F126" i="1"/>
  <c r="D126" i="1"/>
  <c r="F125" i="1"/>
  <c r="D125" i="1"/>
  <c r="F122" i="1"/>
  <c r="F121" i="1"/>
  <c r="D121" i="1"/>
  <c r="F120" i="1"/>
  <c r="D120" i="1"/>
  <c r="F117" i="1"/>
  <c r="F116" i="1"/>
  <c r="D116" i="1"/>
  <c r="F115" i="1"/>
  <c r="D115" i="1"/>
  <c r="F112" i="1"/>
  <c r="F111" i="1"/>
  <c r="D111" i="1"/>
  <c r="F110" i="1"/>
  <c r="D110" i="1"/>
  <c r="F107" i="1"/>
  <c r="F106" i="1"/>
  <c r="D106" i="1"/>
  <c r="F105" i="1"/>
  <c r="D105" i="1"/>
  <c r="F102" i="1"/>
  <c r="F101" i="1"/>
  <c r="D101" i="1"/>
  <c r="F100" i="1"/>
  <c r="D100" i="1"/>
  <c r="F97" i="1"/>
  <c r="F96" i="1"/>
  <c r="D96" i="1"/>
  <c r="F95" i="1"/>
  <c r="D95" i="1"/>
  <c r="F92" i="1"/>
  <c r="F91" i="1"/>
  <c r="D91" i="1"/>
  <c r="F90" i="1"/>
  <c r="D90" i="1"/>
  <c r="F87" i="1"/>
  <c r="F86" i="1"/>
  <c r="D86" i="1"/>
  <c r="F85" i="1"/>
  <c r="D85" i="1"/>
  <c r="F82" i="1"/>
  <c r="F81" i="1"/>
  <c r="D81" i="1"/>
  <c r="F80" i="1"/>
  <c r="D80" i="1"/>
  <c r="F77" i="1"/>
  <c r="F76" i="1"/>
  <c r="D76" i="1"/>
  <c r="F75" i="1"/>
  <c r="D75" i="1"/>
  <c r="F72" i="1"/>
  <c r="F71" i="1"/>
  <c r="D71" i="1"/>
  <c r="F70" i="1"/>
  <c r="D70" i="1"/>
  <c r="F67" i="1"/>
  <c r="F66" i="1"/>
  <c r="D66" i="1"/>
  <c r="F65" i="1"/>
  <c r="D65" i="1"/>
  <c r="F62" i="1"/>
  <c r="F61" i="1"/>
  <c r="D61" i="1"/>
  <c r="F60" i="1"/>
  <c r="D60" i="1"/>
  <c r="F57" i="1"/>
  <c r="F56" i="1"/>
  <c r="D56" i="1"/>
  <c r="F55" i="1"/>
  <c r="D55" i="1"/>
  <c r="F52" i="1"/>
  <c r="F51" i="1"/>
  <c r="D51" i="1"/>
  <c r="F50" i="1"/>
  <c r="D50" i="1"/>
  <c r="F47" i="1"/>
  <c r="F46" i="1"/>
  <c r="D46" i="1"/>
  <c r="F45" i="1"/>
  <c r="D45" i="1"/>
  <c r="F42" i="1"/>
  <c r="F41" i="1"/>
  <c r="D41" i="1"/>
  <c r="F40" i="1"/>
  <c r="D40" i="1"/>
  <c r="F37" i="1"/>
  <c r="F36" i="1"/>
  <c r="D36" i="1"/>
  <c r="F35" i="1"/>
  <c r="D35" i="1"/>
  <c r="F32" i="1"/>
  <c r="F31" i="1"/>
  <c r="D31" i="1"/>
  <c r="F30" i="1"/>
  <c r="D30" i="1"/>
  <c r="F27" i="1"/>
  <c r="F26" i="1"/>
  <c r="D26" i="1"/>
  <c r="F25" i="1"/>
  <c r="D25" i="1"/>
  <c r="F22" i="1"/>
  <c r="F21" i="1"/>
  <c r="D21" i="1"/>
  <c r="F20" i="1"/>
  <c r="D20" i="1"/>
  <c r="F17" i="1"/>
  <c r="F16" i="1"/>
  <c r="D16" i="1"/>
  <c r="F15" i="1"/>
  <c r="D15" i="1"/>
  <c r="P33" i="1"/>
  <c r="N33" i="1"/>
  <c r="M33" i="1"/>
</calcChain>
</file>

<file path=xl/sharedStrings.xml><?xml version="1.0" encoding="utf-8"?>
<sst xmlns="http://schemas.openxmlformats.org/spreadsheetml/2006/main" count="12995" uniqueCount="469">
  <si>
    <t>名称</t>
  </si>
  <si>
    <t>编号</t>
  </si>
  <si>
    <t>阳攻</t>
  </si>
  <si>
    <t>阳防</t>
  </si>
  <si>
    <t>阴攻</t>
  </si>
  <si>
    <t>阴防</t>
  </si>
  <si>
    <t>结界</t>
  </si>
  <si>
    <t>速度</t>
  </si>
  <si>
    <t>释放概率</t>
  </si>
  <si>
    <t>行动1</t>
  </si>
  <si>
    <t>行动2</t>
  </si>
  <si>
    <t>行动3</t>
  </si>
  <si>
    <t>技能1</t>
  </si>
  <si>
    <t>name</t>
  </si>
  <si>
    <t>id</t>
  </si>
  <si>
    <t>rate</t>
  </si>
  <si>
    <t>弱点</t>
  </si>
  <si>
    <t>耐性</t>
  </si>
  <si>
    <t>weak</t>
  </si>
  <si>
    <t>resist</t>
  </si>
  <si>
    <t>灵力强化</t>
  </si>
  <si>
    <t>灵力强化技能</t>
  </si>
  <si>
    <t>己方全体阴防上升5等级 (1回合)</t>
  </si>
  <si>
    <t>对敌方全体附加2枚结界异常「燃烧」 (1回合)</t>
  </si>
  <si>
    <t>己方全体阴攻上升5等级 (1回合)</t>
  </si>
  <si>
    <t>对敌方全体附加2枚结界异常「毒雾」 (1回合)</t>
  </si>
  <si>
    <t>己方全体受到来自通常弹的伤害下降65% (1回合)</t>
  </si>
  <si>
    <t>己方全体受到来自镭射弹的伤害下降65% (1回合)</t>
  </si>
  <si>
    <t>己方全体会心命中上升5等级 (1回合)</t>
  </si>
  <si>
    <t>对敌方全体附加2枚结界异常「感电」 (1回合)</t>
  </si>
  <si>
    <t>对敌方全体附加2枚结界异常「冻结」 (1回合)</t>
  </si>
  <si>
    <t>大家阴防上升！</t>
  </si>
  <si>
    <t>月金</t>
  </si>
  <si>
    <t>水星</t>
  </si>
  <si>
    <t>己方全体阳防上升2等级 (1回合)</t>
  </si>
  <si>
    <t>大家燃烧付与！</t>
  </si>
  <si>
    <t>日土</t>
  </si>
  <si>
    <t>无</t>
  </si>
  <si>
    <t>大家阴攻上升！</t>
  </si>
  <si>
    <t>日火金</t>
  </si>
  <si>
    <t>月土星</t>
  </si>
  <si>
    <t>大家毒雾付与！</t>
  </si>
  <si>
    <t>日水木</t>
  </si>
  <si>
    <t>月金星</t>
  </si>
  <si>
    <t>大家通常弹强化！</t>
  </si>
  <si>
    <t>火星</t>
  </si>
  <si>
    <t>大家镭射弹强化！</t>
  </si>
  <si>
    <t>大家会心命中上升！</t>
  </si>
  <si>
    <t>日金</t>
  </si>
  <si>
    <t>月水</t>
  </si>
  <si>
    <t>大家感电付与！</t>
  </si>
  <si>
    <t>日火</t>
  </si>
  <si>
    <t>月星</t>
  </si>
  <si>
    <t>大家结界回复！</t>
  </si>
  <si>
    <t>月木</t>
  </si>
  <si>
    <t>大家冻结付与！</t>
  </si>
  <si>
    <t>土星</t>
  </si>
  <si>
    <t>技能</t>
  </si>
  <si>
    <t>博丽灵梦(1001)</t>
  </si>
  <si>
    <t>雾雨魔理沙(1002)</t>
  </si>
  <si>
    <t>蕾米莉亚·斯卡雷特(1003)</t>
  </si>
  <si>
    <t>芙兰朵露·斯卡雷特(1004)</t>
  </si>
  <si>
    <t>十六夜咲夜(1005)</t>
  </si>
  <si>
    <t>帕秋莉·诺蕾姬(1006)</t>
  </si>
  <si>
    <t>红美铃(1007)</t>
  </si>
  <si>
    <t>小恶魔(1008)</t>
  </si>
  <si>
    <t>八云紫(1009)</t>
  </si>
  <si>
    <t>西行寺幽幽子(1010)</t>
  </si>
  <si>
    <t>魂魄妖梦(1011)</t>
  </si>
  <si>
    <t>大家付与毒雾！</t>
  </si>
  <si>
    <t>对敌方全体附加2枚结界异常「毒雾」 (2回合)</t>
  </si>
  <si>
    <t>月土</t>
  </si>
  <si>
    <t>自身阴攻上升2等级 (1回合)</t>
  </si>
  <si>
    <t>莉莉怀特(1012)</t>
  </si>
  <si>
    <t>大家体术弹强化！</t>
  </si>
  <si>
    <t>己方全体受到来自体术弹的伤害下降65% (1回合)</t>
  </si>
  <si>
    <t>八云蓝(1013)</t>
  </si>
  <si>
    <t>大家斩击强化！</t>
  </si>
  <si>
    <t>己方全体受到来自斩击弹的伤害下降65% (1回合)</t>
  </si>
  <si>
    <t>橙(1014)</t>
  </si>
  <si>
    <t>大家黑暗付与！</t>
  </si>
  <si>
    <t>对敌方全体附加2枚结界异常「黑暗」 (1回合)</t>
  </si>
  <si>
    <t>日水</t>
  </si>
  <si>
    <t>铃仙·优昙华院·因幡(1015)</t>
  </si>
  <si>
    <t>大家结界异常回复！</t>
  </si>
  <si>
    <t>金星</t>
  </si>
  <si>
    <t>绵月丰姬(1016)</t>
  </si>
  <si>
    <t>绵月依姬(1017)</t>
  </si>
  <si>
    <t>大家阴防下降！</t>
  </si>
  <si>
    <t>敌方全体阴防下降5等级 (1回合)</t>
  </si>
  <si>
    <t>八意永琳(1018)</t>
  </si>
  <si>
    <t>大家动能弹强化！</t>
  </si>
  <si>
    <t>己方全体受到来自动能弹的伤害下降65% (1回合)</t>
  </si>
  <si>
    <t>日木</t>
  </si>
  <si>
    <t>蓬莱山辉夜(1019)</t>
  </si>
  <si>
    <t>大家阴攻下降！</t>
  </si>
  <si>
    <t>敌方全体阴攻下降5等级 (1回合)</t>
  </si>
  <si>
    <t>藤原妹红(1020)</t>
  </si>
  <si>
    <t>大家流体弹强化！</t>
  </si>
  <si>
    <t>己方全体受到来自流体弹的伤害下降65% (1回合)</t>
  </si>
  <si>
    <t>木星</t>
  </si>
  <si>
    <t>清兰(1021)</t>
  </si>
  <si>
    <t>铃瑚(1022)</t>
  </si>
  <si>
    <t>铃仙(1023)</t>
  </si>
  <si>
    <t>大家会心命中下降！</t>
  </si>
  <si>
    <t>敌方全体会心命中下降5等级 (1回合)</t>
  </si>
  <si>
    <t>己方全体速度上升2等级 (1回合)</t>
  </si>
  <si>
    <t>圣白莲(1024)</t>
  </si>
  <si>
    <t>大家能量弹强化！</t>
  </si>
  <si>
    <t>己方全体受到来自能量弹的伤害下降65% (1回合)</t>
  </si>
  <si>
    <t>茨木华扇(1025)</t>
  </si>
  <si>
    <t>大家月属性强化！</t>
  </si>
  <si>
    <t>己方全体受到来自月属性的伤害下降50% (1回合)</t>
  </si>
  <si>
    <t>月火</t>
  </si>
  <si>
    <t>自身命中上升2等级 (1回合)</t>
  </si>
  <si>
    <t>本居小铃(1026)</t>
  </si>
  <si>
    <t>大家御符弹强化！</t>
  </si>
  <si>
    <t>己方全体受到来自御符弹的伤害下降65% (1回合)</t>
  </si>
  <si>
    <t>稗田阿求(1029)</t>
  </si>
  <si>
    <t>大家土属性强化！</t>
  </si>
  <si>
    <t>己方全体受到来自土属性的伤害下降50% (1回合)</t>
  </si>
  <si>
    <t>己方全体阴攻上升2等级 (1回合)</t>
  </si>
  <si>
    <t>琪露诺(1030)</t>
  </si>
  <si>
    <t>大妖精(1031)</t>
  </si>
  <si>
    <t>大家体力回复！</t>
  </si>
  <si>
    <t>己方全体阳攻上升2等级 (1回合)</t>
  </si>
  <si>
    <t>爱丽丝·玛格特罗伊德(1032)</t>
  </si>
  <si>
    <t>桑尼米尔克(1033)</t>
  </si>
  <si>
    <t>大家光弹强化！</t>
  </si>
  <si>
    <t>己方全体受到来自光弹的伤害下降65% (1回合)</t>
  </si>
  <si>
    <t>露娜切露德(1034)</t>
  </si>
  <si>
    <t>大家尖头弹强化！</t>
  </si>
  <si>
    <t>己方全体受到来自尖弹的伤害下降65% (1回合)</t>
  </si>
  <si>
    <t>斯塔萨菲雅(1035)</t>
  </si>
  <si>
    <t>大家阳防上升！</t>
  </si>
  <si>
    <t>己方全体阳防上升5等级 (1回合)</t>
  </si>
  <si>
    <t>自身阳攻上升2等级 (1回合)</t>
  </si>
  <si>
    <t>梅蒂欣·梅兰可莉(1036)</t>
  </si>
  <si>
    <t>东风谷早苗(1037)</t>
  </si>
  <si>
    <t>大家阳攻上升！</t>
  </si>
  <si>
    <t>己方全体阳攻上升5等级 (1回合)</t>
  </si>
  <si>
    <t>八坂神奈子(1038)</t>
  </si>
  <si>
    <t>洩矢诹访子(1039)</t>
  </si>
  <si>
    <t>大家会心攻击上升！</t>
  </si>
  <si>
    <t>己方全体会心攻击上升5等级 (1回合)</t>
  </si>
  <si>
    <t>河城荷取(1040)</t>
  </si>
  <si>
    <t>大家追踪弹强化！</t>
  </si>
  <si>
    <t>己方全体受到来自追踪弹的伤害下降65% (1回合)</t>
  </si>
  <si>
    <t>因幡帝(1042)</t>
  </si>
  <si>
    <t>宇佐见堇子(1043)</t>
  </si>
  <si>
    <t>射命丸文(1044)</t>
  </si>
  <si>
    <t>大家付与冻结！</t>
  </si>
  <si>
    <t>对敌方全体附加2枚结界异常「冻结」 (2回合)</t>
  </si>
  <si>
    <t>己方全体回避上升2等级 (1回合)</t>
  </si>
  <si>
    <t>姬海棠果(1045)</t>
  </si>
  <si>
    <t>犬走椛(1046)</t>
  </si>
  <si>
    <t>自身仇恨值上升2等级 (1回合)</t>
  </si>
  <si>
    <t>坂田合欢(1047)</t>
  </si>
  <si>
    <t>伊吹萃香(1048)</t>
  </si>
  <si>
    <t>大家阳防下降！</t>
  </si>
  <si>
    <t>敌方全体阳防下降5等级 (1回合)</t>
  </si>
  <si>
    <t>星熊勇仪(1049)</t>
  </si>
  <si>
    <t>古明地觉(1050)</t>
  </si>
  <si>
    <t>大家阳攻下降！</t>
  </si>
  <si>
    <t>敌方全体阳攻下降5等级 (1回合)</t>
  </si>
  <si>
    <t>古明地恋(1051)</t>
  </si>
  <si>
    <t>小野塚小町(1054)</t>
  </si>
  <si>
    <t>大家会心回避下降！</t>
  </si>
  <si>
    <t>敌方全体会心回避下降5等级 (1回合)</t>
  </si>
  <si>
    <t>赫卡提亚·拉碧斯拉祖利(1056)</t>
  </si>
  <si>
    <t>纯狐(1057)</t>
  </si>
  <si>
    <t>克劳恩皮丝(1058)</t>
  </si>
  <si>
    <t>秋静叶(1059)</t>
  </si>
  <si>
    <t>大家火属性强化！</t>
  </si>
  <si>
    <t>己方全体受到来自火属性的伤害下降50% (1回合)</t>
  </si>
  <si>
    <t>秋穰子(1060)</t>
  </si>
  <si>
    <t>键山雏(1061)</t>
  </si>
  <si>
    <t>大家金属性强化！</t>
  </si>
  <si>
    <t>己方全体受到来自金属性的伤害下降50% (1回合)</t>
  </si>
  <si>
    <t>露娜萨·普莉兹姆利巴(1062)</t>
  </si>
  <si>
    <t>梅露兰·普莉兹姆利巴(1063)</t>
  </si>
  <si>
    <t>莉莉卡·普莉兹姆利巴(1064)</t>
  </si>
  <si>
    <t>依神女苑(1065)</t>
  </si>
  <si>
    <t>自身回避上升2等级 (1回合)</t>
  </si>
  <si>
    <t>依神紫苑(1066)</t>
  </si>
  <si>
    <t>九十九弁弁(1067)</t>
  </si>
  <si>
    <t>九十九八桥(1068)</t>
  </si>
  <si>
    <t>摩多罗隐岐奈(1069)</t>
  </si>
  <si>
    <t>大家会心防御上升！</t>
  </si>
  <si>
    <t>己方全体会心防御上升5等级 (1回合)</t>
  </si>
  <si>
    <t>上白泽慧音(1072)</t>
  </si>
  <si>
    <t>露米娅(1073)</t>
  </si>
  <si>
    <t>寅丸星(1074)</t>
  </si>
  <si>
    <t>村纱水蜜(1075)</t>
  </si>
  <si>
    <t>大家付与感电！</t>
  </si>
  <si>
    <t>对敌方全体附加2枚结界异常「感电」 (2回合)</t>
  </si>
  <si>
    <t>多多良小伞(1076)</t>
  </si>
  <si>
    <t>哆来咪·苏伊特(1080)</t>
  </si>
  <si>
    <t>稀神探女(1081)</t>
  </si>
  <si>
    <t>二岩猯藏(1082)</t>
  </si>
  <si>
    <t>高丽野阿吽(1083)</t>
  </si>
  <si>
    <t>风见幽香(1084)</t>
  </si>
  <si>
    <t>霍青娥(1085)</t>
  </si>
  <si>
    <t>宫古芳香(1086)</t>
  </si>
  <si>
    <t>大家会心攻击下降！</t>
  </si>
  <si>
    <t>敌方全体会心攻击下降5等级 (1回合)</t>
  </si>
  <si>
    <t>秦心(1087)</t>
  </si>
  <si>
    <t>蕾蒂·霍瓦特洛克(1088)</t>
  </si>
  <si>
    <t>大家水属性强化！</t>
  </si>
  <si>
    <t>己方全体受到来自水属性的伤害下降50% (1回合)</t>
  </si>
  <si>
    <t>比那名居天子(1089)</t>
  </si>
  <si>
    <t>土</t>
  </si>
  <si>
    <t>丰聪耳神子(1091)</t>
  </si>
  <si>
    <t>大家木属性强化！</t>
  </si>
  <si>
    <t>己方全体受到来自木属性的伤害下降50% (1回合)</t>
  </si>
  <si>
    <t>雾雨魔理沙(2002)</t>
  </si>
  <si>
    <t>日月星</t>
  </si>
  <si>
    <t>西行寺幽幽子(2010)</t>
  </si>
  <si>
    <t>金土</t>
  </si>
  <si>
    <t>魂魄妖梦(2011)</t>
  </si>
  <si>
    <t>火水木</t>
  </si>
  <si>
    <t>火焰猫燐(1052)</t>
  </si>
  <si>
    <t>灵乌路空(1053)</t>
  </si>
  <si>
    <t>四季映姬·夜摩仙那度(1055)</t>
  </si>
  <si>
    <t>尔子田里乃(1070)</t>
  </si>
  <si>
    <t>丁礼田舞(1071)</t>
  </si>
  <si>
    <t>若鹭姬(1077)</t>
  </si>
  <si>
    <t>今泉影狼(1078)</t>
  </si>
  <si>
    <t>赤蛮奇(1079)</t>
  </si>
  <si>
    <t>永江衣玖(1090)</t>
  </si>
  <si>
    <t>物部布都(1092)</t>
  </si>
  <si>
    <t>苏我屠自古(1093)</t>
  </si>
  <si>
    <t>鬼人正邪(1094)</t>
  </si>
  <si>
    <t>少名针妙丸(1095)</t>
  </si>
  <si>
    <t>幽谷响子(1096)</t>
  </si>
  <si>
    <t>米斯蒂娅·萝蕾拉(1097)</t>
  </si>
  <si>
    <t>莉格露·奈特巴格(1098)</t>
  </si>
  <si>
    <t>水桥帕露西(1099)</t>
  </si>
  <si>
    <t>黑谷山女(1100)</t>
  </si>
  <si>
    <t>琪斯美(1101)</t>
  </si>
  <si>
    <t>娜兹玲(1102)</t>
  </si>
  <si>
    <t>云居一轮(1103)</t>
  </si>
  <si>
    <t>封兽鵺(1104)</t>
  </si>
  <si>
    <t>日金土</t>
  </si>
  <si>
    <t>火水星</t>
  </si>
  <si>
    <t>堀川雷鼓(1105)</t>
  </si>
  <si>
    <t>矢田寺成美(1106)</t>
  </si>
  <si>
    <t>爱塔妮缇拉尔瓦(1107)</t>
  </si>
  <si>
    <t>埴安神袿姬(1108)</t>
  </si>
  <si>
    <t>杖刀偶磨弓(1109)</t>
  </si>
  <si>
    <t>骊驹早鬼(1110)</t>
  </si>
  <si>
    <t>吉吊八千慧(1111)</t>
  </si>
  <si>
    <t>庭渡久侘歌(1112)</t>
  </si>
  <si>
    <t>牛崎润美(1113)</t>
  </si>
  <si>
    <t>戎璎花(1114)</t>
  </si>
  <si>
    <t>山城高岭(1118)</t>
  </si>
  <si>
    <t>玉造魅须丸(1120)</t>
  </si>
  <si>
    <t>火水</t>
  </si>
  <si>
    <t>日月</t>
  </si>
  <si>
    <t>饭纲丸龙(1122)</t>
  </si>
  <si>
    <t>蕾米莉亚·斯卡雷特(2003)</t>
  </si>
  <si>
    <t>十六夜咲夜(2005)</t>
  </si>
  <si>
    <t>己方全体会心攻击上升2等级 (1回合)</t>
  </si>
  <si>
    <t>帕秋莉·诺蕾姬(2006)</t>
  </si>
  <si>
    <t>红美铃(2007)</t>
  </si>
  <si>
    <t>八云蓝(2013)</t>
  </si>
  <si>
    <t>铃仙·优昙华院·因幡(2015)</t>
  </si>
  <si>
    <t>己方全体阴防上升2等级 (1回合)</t>
  </si>
  <si>
    <t>绵月丰姬(2016)</t>
  </si>
  <si>
    <t>绵月依姬(2017)</t>
  </si>
  <si>
    <t>蓬莱山辉夜(2019)</t>
  </si>
  <si>
    <t>圣白莲(2024)</t>
  </si>
  <si>
    <t>琪露诺(2030)</t>
  </si>
  <si>
    <t>爱丽丝·玛格特罗伊德(2032)</t>
  </si>
  <si>
    <t>八坂神奈子(2038)</t>
  </si>
  <si>
    <t>洩矢诹访子(2039)</t>
  </si>
  <si>
    <t>河城荷取(2040)</t>
  </si>
  <si>
    <t>射命丸文(2044)</t>
  </si>
  <si>
    <t>自身速度上升2等级 (1回合)</t>
  </si>
  <si>
    <t>纯狐(2057)</t>
  </si>
  <si>
    <t>稀神探女(2081)</t>
  </si>
  <si>
    <t>丰聪耳神子(2091)</t>
  </si>
  <si>
    <t>博丽灵梦(3001)</t>
  </si>
  <si>
    <t>雾雨魔理沙(3002)</t>
  </si>
  <si>
    <t>己方全体会心防御上升2等级 (1回合)</t>
  </si>
  <si>
    <t>芙兰朵露·斯卡雷特(3004)</t>
  </si>
  <si>
    <t>十六夜咲夜(3005)</t>
  </si>
  <si>
    <t>八云紫(3009)</t>
  </si>
  <si>
    <t>魂魄妖梦(3011)</t>
  </si>
  <si>
    <t>铃仙·优昙华院·因幡(3015)</t>
  </si>
  <si>
    <t>八意永琳(3018)</t>
  </si>
  <si>
    <t>东风谷早苗(3037)</t>
  </si>
  <si>
    <t>古明地恋(3051)</t>
  </si>
  <si>
    <t>水土</t>
  </si>
  <si>
    <t>木金</t>
  </si>
  <si>
    <t>博丽灵梦(4001)</t>
  </si>
  <si>
    <t>雾雨魔理沙(4002)</t>
  </si>
  <si>
    <t>十六夜咲夜(4005)</t>
  </si>
  <si>
    <t>魂魄妖梦(4011)</t>
  </si>
  <si>
    <t>铃仙·优昙华院·因幡(4015)</t>
  </si>
  <si>
    <t>东风谷早苗(4037)</t>
  </si>
  <si>
    <t>天弓千亦(1123)</t>
  </si>
  <si>
    <t>豪德寺三花(1117)</t>
  </si>
  <si>
    <t>小恶魔(2008)</t>
  </si>
  <si>
    <t>姬虫百百世(1124)</t>
  </si>
  <si>
    <t>桑尼米尔克(2033)</t>
  </si>
  <si>
    <t>古明地觉(2050)</t>
  </si>
  <si>
    <t>帕秋莉·诺蕾姬(3006)</t>
  </si>
  <si>
    <t>古明地觉(3050)</t>
  </si>
  <si>
    <t>西行寺幽幽子(3010)</t>
  </si>
  <si>
    <t>驹草山如(1119)</t>
  </si>
  <si>
    <t>菅牧典(1121)</t>
  </si>
  <si>
    <t>因幡帝(2042)</t>
  </si>
  <si>
    <t>藤原妹红(2020)</t>
  </si>
  <si>
    <t>火焰猫燐(5052)</t>
  </si>
  <si>
    <t>灵乌路空(5053)</t>
  </si>
  <si>
    <t>清兰(2021)</t>
  </si>
  <si>
    <t>铃瑚(2022)</t>
  </si>
  <si>
    <t>露米娅(2073)</t>
  </si>
  <si>
    <t>芙兰朵露·斯卡雷特(4004)</t>
  </si>
  <si>
    <t>蕾米莉亚·斯卡雷特(4003)</t>
  </si>
  <si>
    <t>红美铃(3007)</t>
  </si>
  <si>
    <t>小恶魔(3008)</t>
  </si>
  <si>
    <t>大妖精(2031)</t>
  </si>
  <si>
    <t>赫卡提亚·拉碧斯拉祖利(5056)</t>
  </si>
  <si>
    <t>爱丽丝·玛格特罗伊德(19032)</t>
  </si>
  <si>
    <t>全员阳防下降！</t>
  </si>
  <si>
    <t>风见幽香(3084)</t>
  </si>
  <si>
    <t>哆来咪·苏伊特(2080)</t>
  </si>
  <si>
    <t>上白泽慧音(2072)</t>
  </si>
  <si>
    <t>米斯蒂娅·萝蕾拉(2097)</t>
  </si>
  <si>
    <t>莉格露·奈特巴格(2098)</t>
  </si>
  <si>
    <t>四季映姬·夜摩仙那度(2055)</t>
  </si>
  <si>
    <t>庭渡久侘歌(6112)</t>
  </si>
  <si>
    <t>全员阴攻下降！</t>
  </si>
  <si>
    <t>小野塚小町(2054)</t>
  </si>
  <si>
    <t>八云紫(19009)</t>
  </si>
  <si>
    <t>全员阳攻提升！</t>
  </si>
  <si>
    <t>博丽灵梦(5001)</t>
  </si>
  <si>
    <t>博丽灵梦(6001)</t>
  </si>
  <si>
    <t>爱丽丝·玛格特罗伊德(4032)</t>
  </si>
  <si>
    <t>全员会心攻击提升！</t>
  </si>
  <si>
    <t>梅蒂欣·梅兰可莉(2036)</t>
  </si>
  <si>
    <t>雾雨魔理沙(5002)</t>
  </si>
  <si>
    <t>雾雨魔理沙(6002)</t>
  </si>
  <si>
    <t>饕餮尤魔(1116)</t>
  </si>
  <si>
    <t>十六夜咲夜(18005)</t>
  </si>
  <si>
    <t>十六夜咲夜(19005)</t>
  </si>
  <si>
    <t>露娜萨·普莉兹姆利巴(6062)</t>
  </si>
  <si>
    <t>己方全体命中上升2等级 (1回合)</t>
  </si>
  <si>
    <t>梅露兰·普莉兹姆利巴(6063)</t>
  </si>
  <si>
    <t>莉莉卡·普莉兹姆利巴(6064)</t>
  </si>
  <si>
    <t>藤原妹红(4020)</t>
  </si>
  <si>
    <t>圣白莲(6024)</t>
  </si>
  <si>
    <t>爱丽丝·玛格特罗伊德(8032)</t>
  </si>
  <si>
    <t>日月火</t>
  </si>
  <si>
    <t>比那名居天子(6089)</t>
  </si>
  <si>
    <t>橙(2014)</t>
  </si>
  <si>
    <t>自身会心攻击上升2等级 (1回合)</t>
  </si>
  <si>
    <t>因幡帝(7042)</t>
  </si>
  <si>
    <t>铃仙(2023)</t>
  </si>
  <si>
    <t>风见幽香(2084)</t>
  </si>
  <si>
    <t>茨木童子之臂(1125)</t>
  </si>
  <si>
    <t>己方全体会心命中上升2等级 (1回合)</t>
  </si>
  <si>
    <t>蕾米莉亚·斯卡雷特(11003)</t>
  </si>
  <si>
    <t>西行寺幽幽子(6010)</t>
  </si>
  <si>
    <t>魂魄妖梦(7011)</t>
  </si>
  <si>
    <t>露娜萨·普莉兹姆利巴(7062)</t>
  </si>
  <si>
    <t>梅露兰·普莉兹姆利巴(7063)</t>
  </si>
  <si>
    <t>莉莉卡·普莉兹姆利巴(7064)</t>
  </si>
  <si>
    <t>射命丸文(7044)</t>
  </si>
  <si>
    <t>火金星</t>
  </si>
  <si>
    <t>日木土</t>
  </si>
  <si>
    <t>河城荷取(6040)</t>
  </si>
  <si>
    <t>比那名居天子(5089)</t>
  </si>
  <si>
    <t>秦こころ(6087)</t>
  </si>
  <si>
    <t>日木金</t>
  </si>
  <si>
    <t>月火水</t>
  </si>
  <si>
    <t>フランドール·スカーレット(12004)</t>
  </si>
  <si>
    <t>茨木華扇(5025)</t>
  </si>
  <si>
    <t>金土星</t>
  </si>
  <si>
    <t>星熊勇儀(6049)</t>
  </si>
  <si>
    <t>月木土</t>
  </si>
  <si>
    <t>八坂神奈子(8038)</t>
  </si>
  <si>
    <t>鬼人正邪(6094)</t>
  </si>
  <si>
    <t>少名針妙丸(7095)</t>
  </si>
  <si>
    <t>洩矢諏訪子(8039)</t>
  </si>
  <si>
    <t>霍青娥(7085)</t>
  </si>
  <si>
    <t>伊吹萃香(2048)</t>
  </si>
  <si>
    <t>月木金</t>
  </si>
  <si>
    <t>日水土</t>
  </si>
  <si>
    <t>日土星</t>
  </si>
  <si>
    <t>火木</t>
  </si>
  <si>
    <t>日火水</t>
  </si>
  <si>
    <t>己方全体结界回复2枚</t>
  </si>
  <si>
    <t>水土星</t>
  </si>
  <si>
    <t>火金</t>
  </si>
  <si>
    <t>木土</t>
  </si>
  <si>
    <t>己方全体结界异常回复2枚</t>
  </si>
  <si>
    <t>木金星</t>
  </si>
  <si>
    <t>火木星</t>
  </si>
  <si>
    <t>火土星</t>
  </si>
  <si>
    <t>月水土</t>
  </si>
  <si>
    <t>己方全体体力回复15%</t>
  </si>
  <si>
    <t>月金土</t>
  </si>
  <si>
    <t>水木</t>
  </si>
  <si>
    <t>水木星</t>
  </si>
  <si>
    <t>木土星</t>
  </si>
  <si>
    <t>月火星</t>
  </si>
  <si>
    <t>日火木</t>
  </si>
  <si>
    <t>日月木</t>
  </si>
  <si>
    <t>月水金</t>
  </si>
  <si>
    <t>月水星</t>
  </si>
  <si>
    <t>日水金</t>
  </si>
  <si>
    <t>月水木</t>
  </si>
  <si>
    <t>月火木</t>
  </si>
  <si>
    <t>月火土</t>
  </si>
  <si>
    <t>月木星</t>
  </si>
  <si>
    <t>火土</t>
  </si>
  <si>
    <t>火木土</t>
  </si>
  <si>
    <t>水金星</t>
  </si>
  <si>
    <t>水金</t>
  </si>
  <si>
    <t>日金星</t>
  </si>
  <si>
    <t>木金土</t>
  </si>
  <si>
    <t>水金土</t>
  </si>
  <si>
    <t>水木土</t>
  </si>
  <si>
    <t>日月水</t>
  </si>
  <si>
    <t>火金土</t>
  </si>
  <si>
    <t>火木金</t>
  </si>
  <si>
    <t>日水星</t>
  </si>
  <si>
    <t>日星</t>
  </si>
  <si>
    <t>日木星</t>
  </si>
  <si>
    <t>月火金</t>
  </si>
  <si>
    <t>日火星</t>
  </si>
  <si>
    <t>制作 b站 laoxu_666</t>
  </si>
  <si>
    <t>说明：此表提供擂台敌人数据，包括部分隐藏数据</t>
  </si>
  <si>
    <t>周擂台数据</t>
  </si>
  <si>
    <t>Lunatic难度下总血量</t>
  </si>
  <si>
    <t>Wave1</t>
  </si>
  <si>
    <t>Wave2</t>
  </si>
  <si>
    <t>Wave3</t>
  </si>
  <si>
    <t>单个敌人血量=总血量/敌人数-1</t>
  </si>
  <si>
    <t>Hard难度：约为Lunatic难度的0.3188倍</t>
  </si>
  <si>
    <t>Normal难度：约为Lunatic难度的0.133倍，Hard难度的0.4175倍</t>
  </si>
  <si>
    <t>血量数值</t>
  </si>
  <si>
    <t>其它数值=基础数值*倍率 各难度下的倍率↓</t>
  </si>
  <si>
    <t>PH</t>
  </si>
  <si>
    <t>L</t>
  </si>
  <si>
    <t>H</t>
  </si>
  <si>
    <t>N</t>
  </si>
  <si>
    <t>E</t>
  </si>
  <si>
    <t>难易度</t>
  </si>
  <si>
    <t>N-普通 H-困难 L-月狂</t>
  </si>
  <si>
    <t>日擂台数值</t>
  </si>
  <si>
    <t>血量数值计算方法暂时未知</t>
  </si>
  <si>
    <t>其它数值各难度下的倍率：</t>
  </si>
  <si>
    <t>Easy:0.72</t>
  </si>
  <si>
    <t>Normal:0.96</t>
  </si>
  <si>
    <t>Hard:1.2</t>
  </si>
  <si>
    <t>Lunatic:2.76</t>
  </si>
  <si>
    <t>Phantasm:6.42</t>
  </si>
  <si>
    <t>Normal:0.8</t>
  </si>
  <si>
    <t>Hard:4.5</t>
  </si>
  <si>
    <t>Lunatic:10.5</t>
  </si>
  <si>
    <t>国服</t>
  </si>
  <si>
    <t>关于攻防数值：表格会自动计算各个难度下的各个数值。自行修改难度可以查看所有难度下的数值</t>
  </si>
  <si>
    <t>←可修改。E-简单 N-普通 H-困难 L-月狂 PH-幻想</t>
  </si>
  <si>
    <t>人数/波数</t>
  </si>
  <si>
    <t>周擂台Lunatic单人血量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</si>
</sst>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1"/>
      <color rgb="FF00B0F0"/>
      <name val="等线"/>
      <family val="2"/>
      <charset val="134"/>
      <scheme val="minor"/>
    </font>
    <font>
      <b/>
      <sz val="11"/>
      <color rgb="FFFFFF00"/>
      <name val="等线"/>
      <family val="2"/>
      <charset val="134"/>
      <scheme val="minor"/>
    </font>
    <font>
      <b/>
      <sz val="11"/>
      <color theme="5" tint="-0.249977111117893"/>
      <name val="等线"/>
      <family val="2"/>
      <charset val="134"/>
      <scheme val="minor"/>
    </font>
    <font>
      <b/>
      <sz val="11"/>
      <color theme="4" tint="-0.249977111117893"/>
      <name val="等线"/>
      <family val="2"/>
      <charset val="134"/>
      <scheme val="minor"/>
    </font>
    <font>
      <b/>
      <sz val="11"/>
      <color theme="7" tint="-0.249977111117893"/>
      <name val="等线"/>
      <family val="2"/>
      <charset val="134"/>
      <scheme val="minor"/>
    </font>
    <font>
      <b/>
      <sz val="11"/>
      <color rgb="FFC00000"/>
      <name val="等线"/>
      <family val="2"/>
      <charset val="134"/>
      <scheme val="minor"/>
    </font>
    <font>
      <b/>
      <sz val="14"/>
      <color rgb="FFFF0000"/>
      <name val="等线"/>
      <family val="2"/>
      <charset val="134"/>
      <scheme val="minor"/>
    </font>
    <font>
      <b/>
      <sz val="11"/>
      <color rgb="FF002060"/>
      <name val="等线"/>
      <family val="2"/>
      <charset val="134"/>
      <scheme val="minor"/>
    </font>
    <font>
      <sz val="6"/>
      <name val="Yu Gothic"/>
      <family val="2"/>
      <charset val="128"/>
    </font>
    <font>
      <i/>
      <sz val="11"/>
      <color theme="0" tint="-0.499984740745262"/>
      <name val="等线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0" fillId="15" borderId="9" xfId="0" applyFont="1" applyFill="1" applyBorder="1" applyAlignment="1">
      <alignment horizontal="left" vertical="center"/>
    </xf>
    <xf numFmtId="0" fontId="0" fillId="14" borderId="11" xfId="0" applyFill="1" applyBorder="1" applyAlignment="1">
      <alignment horizontal="left" vertical="center"/>
    </xf>
    <xf numFmtId="0" fontId="1" fillId="8" borderId="14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left" vertical="center"/>
    </xf>
    <xf numFmtId="0" fontId="1" fillId="9" borderId="14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left" vertical="center"/>
    </xf>
    <xf numFmtId="0" fontId="1" fillId="17" borderId="14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18" borderId="0" xfId="0" applyFont="1" applyFill="1" applyBorder="1" applyAlignment="1">
      <alignment horizontal="right" vertical="center"/>
    </xf>
    <xf numFmtId="0" fontId="1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2" fillId="0" borderId="16" xfId="0" applyFont="1" applyFill="1" applyBorder="1" applyAlignment="1">
      <alignment vertical="center"/>
    </xf>
    <xf numFmtId="0" fontId="4" fillId="11" borderId="6" xfId="0" applyFont="1" applyFill="1" applyBorder="1" applyAlignment="1">
      <alignment horizontal="left" vertical="center"/>
    </xf>
    <xf numFmtId="0" fontId="4" fillId="11" borderId="7" xfId="0" applyFont="1" applyFill="1" applyBorder="1" applyAlignment="1">
      <alignment horizontal="left" vertical="center"/>
    </xf>
    <xf numFmtId="0" fontId="4" fillId="11" borderId="8" xfId="0" applyFont="1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FA76-C795-904C-A7EE-93A52C621D3C}">
  <dimension ref="B3:P1143"/>
  <sheetViews>
    <sheetView tabSelected="1" zoomScaleNormal="80" zoomScaleSheetLayoutView="100" workbookViewId="0"/>
  </sheetViews>
  <sheetFormatPr defaultRowHeight="13.5" x14ac:dyDescent="0.15"/>
  <cols>
    <col min="1" max="2" width="9.31640625" style="24"/>
    <col min="3" max="3" width="7.375" style="24" customWidth="1"/>
    <col min="4" max="4" width="11" style="24" customWidth="1"/>
    <col min="5" max="5" width="7.1171875" style="24" customWidth="1"/>
    <col min="6" max="6" width="11" style="24" customWidth="1"/>
    <col min="7" max="7" width="9.31640625" style="24"/>
    <col min="8" max="8" width="41.15234375" style="24" customWidth="1"/>
    <col min="9" max="10" width="9.31640625" style="24"/>
    <col min="11" max="12" width="11.7734375" style="24" bestFit="1" customWidth="1"/>
    <col min="13" max="16" width="11.515625" style="24" bestFit="1" customWidth="1"/>
    <col min="17" max="16384" width="9.31640625" style="24"/>
  </cols>
  <sheetData>
    <row r="3" spans="2:12" x14ac:dyDescent="0.15">
      <c r="B3" s="24" t="s">
        <v>434</v>
      </c>
      <c r="D3" s="27">
        <v>45584</v>
      </c>
      <c r="E3" s="24" t="s">
        <v>464</v>
      </c>
    </row>
    <row r="4" spans="2:12" x14ac:dyDescent="0.15">
      <c r="B4" s="24" t="s">
        <v>435</v>
      </c>
    </row>
    <row r="5" spans="2:12" ht="14.25" thickBot="1" x14ac:dyDescent="0.2">
      <c r="B5" s="24" t="s">
        <v>465</v>
      </c>
      <c r="J5" s="24" t="s">
        <v>436</v>
      </c>
    </row>
    <row r="6" spans="2:12" s="1" customFormat="1" x14ac:dyDescent="0.15">
      <c r="B6" s="13" t="s">
        <v>1</v>
      </c>
      <c r="C6" s="14" t="s">
        <v>0</v>
      </c>
      <c r="D6" s="29" t="s">
        <v>13</v>
      </c>
      <c r="E6" s="30"/>
      <c r="F6" s="31"/>
      <c r="G6" s="15" t="s">
        <v>12</v>
      </c>
      <c r="H6" s="16" t="s">
        <v>0</v>
      </c>
      <c r="J6" s="1" t="s">
        <v>444</v>
      </c>
    </row>
    <row r="7" spans="2:12" s="1" customFormat="1" x14ac:dyDescent="0.15">
      <c r="B7" s="32" t="s">
        <v>14</v>
      </c>
      <c r="C7" s="2" t="s">
        <v>2</v>
      </c>
      <c r="D7" s="9">
        <v>1</v>
      </c>
      <c r="E7" s="3" t="s">
        <v>3</v>
      </c>
      <c r="F7" s="11">
        <v>2</v>
      </c>
      <c r="G7" s="4" t="s">
        <v>8</v>
      </c>
      <c r="H7" s="17" t="s">
        <v>9</v>
      </c>
      <c r="J7" s="1" t="s">
        <v>437</v>
      </c>
    </row>
    <row r="8" spans="2:12" s="1" customFormat="1" ht="13.5" customHeight="1" x14ac:dyDescent="0.15">
      <c r="B8" s="33"/>
      <c r="C8" s="5" t="s">
        <v>4</v>
      </c>
      <c r="D8" s="9">
        <v>3</v>
      </c>
      <c r="E8" s="6" t="s">
        <v>5</v>
      </c>
      <c r="F8" s="11">
        <v>4</v>
      </c>
      <c r="G8" s="35" t="s">
        <v>15</v>
      </c>
      <c r="H8" s="17" t="s">
        <v>10</v>
      </c>
      <c r="J8" s="1" t="s">
        <v>438</v>
      </c>
      <c r="K8" s="1" t="s">
        <v>439</v>
      </c>
      <c r="L8" s="1" t="s">
        <v>440</v>
      </c>
    </row>
    <row r="9" spans="2:12" s="1" customFormat="1" ht="13.5" customHeight="1" x14ac:dyDescent="0.15">
      <c r="B9" s="33"/>
      <c r="C9" s="7" t="s">
        <v>6</v>
      </c>
      <c r="D9" s="10">
        <v>6</v>
      </c>
      <c r="E9" s="8" t="s">
        <v>7</v>
      </c>
      <c r="F9" s="12">
        <v>5</v>
      </c>
      <c r="G9" s="36"/>
      <c r="H9" s="17" t="s">
        <v>11</v>
      </c>
      <c r="J9" s="1">
        <v>67500</v>
      </c>
      <c r="K9" s="1">
        <v>75000</v>
      </c>
      <c r="L9" s="1">
        <v>82500</v>
      </c>
    </row>
    <row r="10" spans="2:12" s="1" customFormat="1" ht="14.25" thickBot="1" x14ac:dyDescent="0.2">
      <c r="B10" s="34"/>
      <c r="C10" s="18" t="s">
        <v>16</v>
      </c>
      <c r="D10" s="19" t="s">
        <v>18</v>
      </c>
      <c r="E10" s="20" t="s">
        <v>17</v>
      </c>
      <c r="F10" s="21" t="s">
        <v>19</v>
      </c>
      <c r="G10" s="22" t="s">
        <v>20</v>
      </c>
      <c r="H10" s="23" t="s">
        <v>21</v>
      </c>
      <c r="J10" s="1" t="s">
        <v>441</v>
      </c>
    </row>
    <row r="11" spans="2:12" ht="14.25" thickBot="1" x14ac:dyDescent="0.2">
      <c r="J11" s="24" t="s">
        <v>443</v>
      </c>
    </row>
    <row r="12" spans="2:12" ht="14.25" thickBot="1" x14ac:dyDescent="0.2">
      <c r="C12" s="24">
        <f>VLOOKUP(E12,Sheet1!$A1:$B5,2,FALSE)</f>
        <v>6.42</v>
      </c>
      <c r="D12" s="25" t="s">
        <v>451</v>
      </c>
      <c r="E12" s="28" t="s">
        <v>446</v>
      </c>
      <c r="F12" s="26" t="s">
        <v>466</v>
      </c>
      <c r="J12" s="24" t="s">
        <v>442</v>
      </c>
    </row>
    <row r="13" spans="2:12" ht="14.25" thickBot="1" x14ac:dyDescent="0.2"/>
    <row r="14" spans="2:12" s="1" customFormat="1" x14ac:dyDescent="0.15">
      <c r="B14" s="13" t="s">
        <v>1</v>
      </c>
      <c r="C14" s="14" t="s">
        <v>0</v>
      </c>
      <c r="D14" s="29" t="s">
        <v>58</v>
      </c>
      <c r="E14" s="30"/>
      <c r="F14" s="31"/>
      <c r="G14" s="15" t="s">
        <v>57</v>
      </c>
      <c r="H14" s="16" t="s">
        <v>31</v>
      </c>
      <c r="J14" s="1" t="s">
        <v>445</v>
      </c>
    </row>
    <row r="15" spans="2:12" s="1" customFormat="1" x14ac:dyDescent="0.15">
      <c r="B15" s="32">
        <v>100001</v>
      </c>
      <c r="C15" s="2" t="s">
        <v>2</v>
      </c>
      <c r="D15" s="9">
        <f>ROUND(C12*815,0)</f>
        <v>5232</v>
      </c>
      <c r="E15" s="3" t="s">
        <v>3</v>
      </c>
      <c r="F15" s="11">
        <f>ROUND(C12*830,0)</f>
        <v>5329</v>
      </c>
      <c r="G15" s="4" t="s">
        <v>8</v>
      </c>
      <c r="H15" s="17" t="s">
        <v>22</v>
      </c>
      <c r="J15" s="1" t="s">
        <v>461</v>
      </c>
    </row>
    <row r="16" spans="2:12" s="1" customFormat="1" ht="13.5" customHeight="1" x14ac:dyDescent="0.15">
      <c r="B16" s="33"/>
      <c r="C16" s="5" t="s">
        <v>4</v>
      </c>
      <c r="D16" s="9">
        <f>ROUND(C12*815,0)</f>
        <v>5232</v>
      </c>
      <c r="E16" s="6" t="s">
        <v>5</v>
      </c>
      <c r="F16" s="11">
        <f>ROUND(C12*830,0)</f>
        <v>5329</v>
      </c>
      <c r="G16" s="35">
        <v>50</v>
      </c>
      <c r="H16" s="17"/>
      <c r="J16" s="1" t="s">
        <v>462</v>
      </c>
    </row>
    <row r="17" spans="2:16" s="1" customFormat="1" ht="13.5" customHeight="1" x14ac:dyDescent="0.15">
      <c r="B17" s="33"/>
      <c r="C17" s="7" t="s">
        <v>6</v>
      </c>
      <c r="D17" s="10">
        <v>5</v>
      </c>
      <c r="E17" s="8" t="s">
        <v>7</v>
      </c>
      <c r="F17" s="12">
        <f>ROUND(C12*480,0)</f>
        <v>3082</v>
      </c>
      <c r="G17" s="36"/>
      <c r="H17" s="17"/>
      <c r="J17" s="1" t="s">
        <v>463</v>
      </c>
    </row>
    <row r="18" spans="2:16" s="1" customFormat="1" ht="14.25" thickBot="1" x14ac:dyDescent="0.2">
      <c r="B18" s="34"/>
      <c r="C18" s="18" t="s">
        <v>16</v>
      </c>
      <c r="D18" s="19" t="s">
        <v>389</v>
      </c>
      <c r="E18" s="20" t="s">
        <v>17</v>
      </c>
      <c r="F18" s="21" t="s">
        <v>33</v>
      </c>
      <c r="G18" s="22" t="s">
        <v>20</v>
      </c>
      <c r="H18" s="23" t="s">
        <v>34</v>
      </c>
    </row>
    <row r="19" spans="2:16" s="1" customFormat="1" x14ac:dyDescent="0.15">
      <c r="B19" s="13" t="s">
        <v>1</v>
      </c>
      <c r="C19" s="14" t="s">
        <v>0</v>
      </c>
      <c r="D19" s="29" t="s">
        <v>59</v>
      </c>
      <c r="E19" s="30"/>
      <c r="F19" s="31"/>
      <c r="G19" s="15" t="s">
        <v>57</v>
      </c>
      <c r="H19" s="16" t="s">
        <v>35</v>
      </c>
      <c r="J19" s="1" t="s">
        <v>453</v>
      </c>
    </row>
    <row r="20" spans="2:16" s="1" customFormat="1" x14ac:dyDescent="0.15">
      <c r="B20" s="32">
        <v>100002</v>
      </c>
      <c r="C20" s="2" t="s">
        <v>2</v>
      </c>
      <c r="D20" s="9">
        <f>ROUND(C12*815,0)</f>
        <v>5232</v>
      </c>
      <c r="E20" s="3" t="s">
        <v>3</v>
      </c>
      <c r="F20" s="11">
        <f>ROUND(C12*830,0)</f>
        <v>5329</v>
      </c>
      <c r="G20" s="4" t="s">
        <v>8</v>
      </c>
      <c r="H20" s="17" t="s">
        <v>23</v>
      </c>
      <c r="J20" s="1" t="s">
        <v>454</v>
      </c>
    </row>
    <row r="21" spans="2:16" s="1" customFormat="1" ht="13.5" customHeight="1" x14ac:dyDescent="0.15">
      <c r="B21" s="33"/>
      <c r="C21" s="5" t="s">
        <v>4</v>
      </c>
      <c r="D21" s="9">
        <f>ROUND(C12*815,0)</f>
        <v>5232</v>
      </c>
      <c r="E21" s="6" t="s">
        <v>5</v>
      </c>
      <c r="F21" s="11">
        <f>ROUND(C12*830,0)</f>
        <v>5329</v>
      </c>
      <c r="G21" s="35">
        <v>100</v>
      </c>
      <c r="H21" s="17"/>
      <c r="J21" s="1" t="s">
        <v>455</v>
      </c>
    </row>
    <row r="22" spans="2:16" s="1" customFormat="1" ht="13.5" customHeight="1" x14ac:dyDescent="0.15">
      <c r="B22" s="33"/>
      <c r="C22" s="7" t="s">
        <v>6</v>
      </c>
      <c r="D22" s="10">
        <v>5</v>
      </c>
      <c r="E22" s="8" t="s">
        <v>7</v>
      </c>
      <c r="F22" s="12">
        <f>ROUND(C12*480,0)</f>
        <v>3082</v>
      </c>
      <c r="G22" s="36"/>
      <c r="H22" s="17"/>
      <c r="J22" s="1" t="s">
        <v>456</v>
      </c>
    </row>
    <row r="23" spans="2:16" s="1" customFormat="1" ht="14.25" thickBot="1" x14ac:dyDescent="0.2">
      <c r="B23" s="34"/>
      <c r="C23" s="18" t="s">
        <v>16</v>
      </c>
      <c r="D23" s="19" t="s">
        <v>390</v>
      </c>
      <c r="E23" s="20" t="s">
        <v>17</v>
      </c>
      <c r="F23" s="21" t="s">
        <v>294</v>
      </c>
      <c r="G23" s="22" t="s">
        <v>20</v>
      </c>
      <c r="H23" s="23" t="s">
        <v>37</v>
      </c>
      <c r="J23" s="1" t="s">
        <v>457</v>
      </c>
    </row>
    <row r="24" spans="2:16" s="1" customFormat="1" x14ac:dyDescent="0.15">
      <c r="B24" s="13" t="s">
        <v>1</v>
      </c>
      <c r="C24" s="14" t="s">
        <v>0</v>
      </c>
      <c r="D24" s="29" t="s">
        <v>60</v>
      </c>
      <c r="E24" s="30"/>
      <c r="F24" s="31"/>
      <c r="G24" s="15" t="s">
        <v>57</v>
      </c>
      <c r="H24" s="16" t="s">
        <v>38</v>
      </c>
      <c r="J24" s="1" t="s">
        <v>458</v>
      </c>
    </row>
    <row r="25" spans="2:16" s="1" customFormat="1" x14ac:dyDescent="0.15">
      <c r="B25" s="32">
        <v>100003</v>
      </c>
      <c r="C25" s="2" t="s">
        <v>2</v>
      </c>
      <c r="D25" s="9">
        <f>ROUND(C12*720,0)</f>
        <v>4622</v>
      </c>
      <c r="E25" s="3" t="s">
        <v>3</v>
      </c>
      <c r="F25" s="11">
        <f>ROUND(C12*720,0)</f>
        <v>4622</v>
      </c>
      <c r="G25" s="4" t="s">
        <v>8</v>
      </c>
      <c r="H25" s="17" t="s">
        <v>24</v>
      </c>
      <c r="J25" s="1" t="s">
        <v>459</v>
      </c>
    </row>
    <row r="26" spans="2:16" s="1" customFormat="1" ht="13.5" customHeight="1" x14ac:dyDescent="0.15">
      <c r="B26" s="33"/>
      <c r="C26" s="5" t="s">
        <v>4</v>
      </c>
      <c r="D26" s="9">
        <f>ROUND(C12*880,0)</f>
        <v>5650</v>
      </c>
      <c r="E26" s="6" t="s">
        <v>5</v>
      </c>
      <c r="F26" s="11">
        <f>ROUND(C12*880,0)</f>
        <v>5650</v>
      </c>
      <c r="G26" s="35">
        <v>50</v>
      </c>
      <c r="H26" s="17"/>
      <c r="J26" s="1" t="s">
        <v>460</v>
      </c>
    </row>
    <row r="27" spans="2:16" s="1" customFormat="1" ht="13.5" customHeight="1" x14ac:dyDescent="0.15">
      <c r="B27" s="33"/>
      <c r="C27" s="7" t="s">
        <v>6</v>
      </c>
      <c r="D27" s="10">
        <v>5</v>
      </c>
      <c r="E27" s="8" t="s">
        <v>7</v>
      </c>
      <c r="F27" s="12">
        <f>ROUND(C12*530,0)</f>
        <v>3403</v>
      </c>
      <c r="G27" s="36"/>
      <c r="H27" s="17"/>
    </row>
    <row r="28" spans="2:16" s="1" customFormat="1" ht="14.25" thickBot="1" x14ac:dyDescent="0.2">
      <c r="B28" s="34"/>
      <c r="C28" s="18" t="s">
        <v>16</v>
      </c>
      <c r="D28" s="19" t="s">
        <v>39</v>
      </c>
      <c r="E28" s="20" t="s">
        <v>17</v>
      </c>
      <c r="F28" s="21" t="s">
        <v>56</v>
      </c>
      <c r="G28" s="22" t="s">
        <v>20</v>
      </c>
      <c r="H28" s="23" t="s">
        <v>37</v>
      </c>
    </row>
    <row r="29" spans="2:16" s="1" customFormat="1" x14ac:dyDescent="0.15">
      <c r="B29" s="13" t="s">
        <v>1</v>
      </c>
      <c r="C29" s="14" t="s">
        <v>0</v>
      </c>
      <c r="D29" s="29" t="s">
        <v>61</v>
      </c>
      <c r="E29" s="30"/>
      <c r="F29" s="31"/>
      <c r="G29" s="15" t="s">
        <v>57</v>
      </c>
      <c r="H29" s="16" t="s">
        <v>41</v>
      </c>
    </row>
    <row r="30" spans="2:16" s="1" customFormat="1" x14ac:dyDescent="0.15">
      <c r="B30" s="32">
        <v>100004</v>
      </c>
      <c r="C30" s="2" t="s">
        <v>2</v>
      </c>
      <c r="D30" s="9">
        <f>ROUND(C12*720,0)</f>
        <v>4622</v>
      </c>
      <c r="E30" s="3" t="s">
        <v>3</v>
      </c>
      <c r="F30" s="11">
        <f>ROUND(C12*1584,0)</f>
        <v>10169</v>
      </c>
      <c r="G30" s="4" t="s">
        <v>8</v>
      </c>
      <c r="H30" s="17" t="s">
        <v>25</v>
      </c>
    </row>
    <row r="31" spans="2:16" s="1" customFormat="1" ht="13.5" customHeight="1" x14ac:dyDescent="0.15">
      <c r="B31" s="33"/>
      <c r="C31" s="5" t="s">
        <v>4</v>
      </c>
      <c r="D31" s="9">
        <f>ROUND(C12*880,0)</f>
        <v>5650</v>
      </c>
      <c r="E31" s="6" t="s">
        <v>5</v>
      </c>
      <c r="F31" s="11">
        <f>ROUND(C12*1936,0)</f>
        <v>12429</v>
      </c>
      <c r="G31" s="35">
        <v>100</v>
      </c>
      <c r="H31" s="17"/>
    </row>
    <row r="32" spans="2:16" s="1" customFormat="1" ht="13.5" customHeight="1" x14ac:dyDescent="0.15">
      <c r="B32" s="33"/>
      <c r="C32" s="7" t="s">
        <v>6</v>
      </c>
      <c r="D32" s="10">
        <v>3</v>
      </c>
      <c r="E32" s="8" t="s">
        <v>7</v>
      </c>
      <c r="F32" s="12">
        <f>ROUND(C12*530,0)</f>
        <v>3403</v>
      </c>
      <c r="G32" s="36"/>
      <c r="H32" s="17"/>
      <c r="M32" s="1">
        <v>167999</v>
      </c>
      <c r="N32" s="1">
        <v>284375</v>
      </c>
      <c r="P32" s="1">
        <v>244532</v>
      </c>
    </row>
    <row r="33" spans="2:16" s="1" customFormat="1" ht="14.25" thickBot="1" x14ac:dyDescent="0.2">
      <c r="B33" s="34"/>
      <c r="C33" s="18" t="s">
        <v>16</v>
      </c>
      <c r="D33" s="19" t="s">
        <v>42</v>
      </c>
      <c r="E33" s="20" t="s">
        <v>17</v>
      </c>
      <c r="F33" s="21" t="s">
        <v>85</v>
      </c>
      <c r="G33" s="22" t="s">
        <v>20</v>
      </c>
      <c r="H33" s="23" t="s">
        <v>37</v>
      </c>
      <c r="M33" s="1">
        <f>M32*3</f>
        <v>503997</v>
      </c>
      <c r="N33" s="1">
        <f>N32*2</f>
        <v>568750</v>
      </c>
      <c r="P33" s="1">
        <f>P32*3</f>
        <v>733596</v>
      </c>
    </row>
    <row r="34" spans="2:16" s="1" customFormat="1" x14ac:dyDescent="0.15">
      <c r="B34" s="13" t="s">
        <v>1</v>
      </c>
      <c r="C34" s="14" t="s">
        <v>0</v>
      </c>
      <c r="D34" s="29" t="s">
        <v>62</v>
      </c>
      <c r="E34" s="30"/>
      <c r="F34" s="31"/>
      <c r="G34" s="15" t="s">
        <v>57</v>
      </c>
      <c r="H34" s="16" t="s">
        <v>44</v>
      </c>
    </row>
    <row r="35" spans="2:16" s="1" customFormat="1" x14ac:dyDescent="0.15">
      <c r="B35" s="32">
        <v>100005</v>
      </c>
      <c r="C35" s="2" t="s">
        <v>2</v>
      </c>
      <c r="D35" s="9">
        <f>ROUND(C12*720,0)</f>
        <v>4622</v>
      </c>
      <c r="E35" s="3" t="s">
        <v>3</v>
      </c>
      <c r="F35" s="11">
        <f>ROUND(C12*720,0)</f>
        <v>4622</v>
      </c>
      <c r="G35" s="4" t="s">
        <v>8</v>
      </c>
      <c r="H35" s="17" t="s">
        <v>26</v>
      </c>
      <c r="L35" s="1">
        <f>M35/M32</f>
        <v>1.8984458240822861</v>
      </c>
      <c r="M35" s="1">
        <v>318937</v>
      </c>
    </row>
    <row r="36" spans="2:16" s="1" customFormat="1" ht="13.5" customHeight="1" x14ac:dyDescent="0.15">
      <c r="B36" s="33"/>
      <c r="C36" s="5" t="s">
        <v>4</v>
      </c>
      <c r="D36" s="9">
        <f>ROUND(C12*880,0)</f>
        <v>5650</v>
      </c>
      <c r="E36" s="6" t="s">
        <v>5</v>
      </c>
      <c r="F36" s="11">
        <f>ROUND(C12*880,0)</f>
        <v>5650</v>
      </c>
      <c r="G36" s="35">
        <v>100</v>
      </c>
      <c r="H36" s="17"/>
      <c r="M36" s="1">
        <v>95625</v>
      </c>
    </row>
    <row r="37" spans="2:16" s="1" customFormat="1" ht="13.5" customHeight="1" x14ac:dyDescent="0.15">
      <c r="B37" s="33"/>
      <c r="C37" s="7" t="s">
        <v>6</v>
      </c>
      <c r="D37" s="10">
        <v>5</v>
      </c>
      <c r="E37" s="8" t="s">
        <v>7</v>
      </c>
      <c r="F37" s="12">
        <f>ROUND(C12*530,0)</f>
        <v>3403</v>
      </c>
      <c r="G37" s="36"/>
      <c r="H37" s="17"/>
    </row>
    <row r="38" spans="2:16" s="1" customFormat="1" ht="14.25" thickBot="1" x14ac:dyDescent="0.2">
      <c r="B38" s="34"/>
      <c r="C38" s="18" t="s">
        <v>16</v>
      </c>
      <c r="D38" s="19" t="s">
        <v>244</v>
      </c>
      <c r="E38" s="20" t="s">
        <v>17</v>
      </c>
      <c r="F38" s="21" t="s">
        <v>36</v>
      </c>
      <c r="G38" s="22" t="s">
        <v>20</v>
      </c>
      <c r="H38" s="23" t="s">
        <v>37</v>
      </c>
    </row>
    <row r="39" spans="2:16" s="1" customFormat="1" x14ac:dyDescent="0.15">
      <c r="B39" s="13" t="s">
        <v>1</v>
      </c>
      <c r="C39" s="14" t="s">
        <v>0</v>
      </c>
      <c r="D39" s="29" t="s">
        <v>63</v>
      </c>
      <c r="E39" s="30"/>
      <c r="F39" s="31"/>
      <c r="G39" s="15" t="s">
        <v>57</v>
      </c>
      <c r="H39" s="16" t="s">
        <v>46</v>
      </c>
    </row>
    <row r="40" spans="2:16" s="1" customFormat="1" x14ac:dyDescent="0.15">
      <c r="B40" s="32">
        <v>100006</v>
      </c>
      <c r="C40" s="2" t="s">
        <v>2</v>
      </c>
      <c r="D40" s="9">
        <f>ROUND(C12*720,0)</f>
        <v>4622</v>
      </c>
      <c r="E40" s="3" t="s">
        <v>3</v>
      </c>
      <c r="F40" s="11">
        <f>ROUND(C12*1584,0)</f>
        <v>10169</v>
      </c>
      <c r="G40" s="4" t="s">
        <v>8</v>
      </c>
      <c r="H40" s="17" t="s">
        <v>27</v>
      </c>
    </row>
    <row r="41" spans="2:16" s="1" customFormat="1" ht="13.5" customHeight="1" x14ac:dyDescent="0.15">
      <c r="B41" s="33"/>
      <c r="C41" s="5" t="s">
        <v>4</v>
      </c>
      <c r="D41" s="9">
        <f>ROUND(C12*880,0)</f>
        <v>5650</v>
      </c>
      <c r="E41" s="6" t="s">
        <v>5</v>
      </c>
      <c r="F41" s="11">
        <f>ROUND(C12*1936,0)</f>
        <v>12429</v>
      </c>
      <c r="G41" s="35">
        <v>100</v>
      </c>
      <c r="H41" s="17"/>
    </row>
    <row r="42" spans="2:16" s="1" customFormat="1" ht="13.5" customHeight="1" x14ac:dyDescent="0.15">
      <c r="B42" s="33"/>
      <c r="C42" s="7" t="s">
        <v>6</v>
      </c>
      <c r="D42" s="10">
        <v>3</v>
      </c>
      <c r="E42" s="8" t="s">
        <v>7</v>
      </c>
      <c r="F42" s="12">
        <f>ROUND(C12*530,0)</f>
        <v>3403</v>
      </c>
      <c r="G42" s="36"/>
      <c r="H42" s="17"/>
    </row>
    <row r="43" spans="2:16" s="1" customFormat="1" ht="14.25" thickBot="1" x14ac:dyDescent="0.2">
      <c r="B43" s="34"/>
      <c r="C43" s="18" t="s">
        <v>16</v>
      </c>
      <c r="D43" s="19" t="s">
        <v>391</v>
      </c>
      <c r="E43" s="20" t="s">
        <v>17</v>
      </c>
      <c r="F43" s="21" t="s">
        <v>392</v>
      </c>
      <c r="G43" s="22" t="s">
        <v>20</v>
      </c>
      <c r="H43" s="23" t="s">
        <v>37</v>
      </c>
    </row>
    <row r="44" spans="2:16" s="1" customFormat="1" x14ac:dyDescent="0.15">
      <c r="B44" s="13" t="s">
        <v>1</v>
      </c>
      <c r="C44" s="14" t="s">
        <v>0</v>
      </c>
      <c r="D44" s="29" t="s">
        <v>64</v>
      </c>
      <c r="E44" s="30"/>
      <c r="F44" s="31"/>
      <c r="G44" s="15" t="s">
        <v>57</v>
      </c>
      <c r="H44" s="16" t="s">
        <v>47</v>
      </c>
    </row>
    <row r="45" spans="2:16" s="1" customFormat="1" x14ac:dyDescent="0.15">
      <c r="B45" s="32">
        <v>100007</v>
      </c>
      <c r="C45" s="2" t="s">
        <v>2</v>
      </c>
      <c r="D45" s="9">
        <f>ROUND(C12*815,0)</f>
        <v>5232</v>
      </c>
      <c r="E45" s="3" t="s">
        <v>3</v>
      </c>
      <c r="F45" s="11">
        <f>ROUND(C12*830,0)</f>
        <v>5329</v>
      </c>
      <c r="G45" s="4" t="s">
        <v>8</v>
      </c>
      <c r="H45" s="17" t="s">
        <v>28</v>
      </c>
    </row>
    <row r="46" spans="2:16" s="1" customFormat="1" ht="13.5" customHeight="1" x14ac:dyDescent="0.15">
      <c r="B46" s="33"/>
      <c r="C46" s="5" t="s">
        <v>4</v>
      </c>
      <c r="D46" s="9">
        <f>ROUND(C12*815,0)</f>
        <v>5232</v>
      </c>
      <c r="E46" s="6" t="s">
        <v>5</v>
      </c>
      <c r="F46" s="11">
        <f>ROUND(C12*830,0)</f>
        <v>5329</v>
      </c>
      <c r="G46" s="35">
        <v>50</v>
      </c>
      <c r="H46" s="17"/>
    </row>
    <row r="47" spans="2:16" s="1" customFormat="1" ht="13.5" customHeight="1" x14ac:dyDescent="0.15">
      <c r="B47" s="33"/>
      <c r="C47" s="7" t="s">
        <v>6</v>
      </c>
      <c r="D47" s="10">
        <v>5</v>
      </c>
      <c r="E47" s="8" t="s">
        <v>7</v>
      </c>
      <c r="F47" s="12">
        <f>ROUND(C12*480,0)</f>
        <v>3082</v>
      </c>
      <c r="G47" s="36"/>
      <c r="H47" s="17"/>
    </row>
    <row r="48" spans="2:16" s="1" customFormat="1" ht="14.25" thickBot="1" x14ac:dyDescent="0.2">
      <c r="B48" s="34"/>
      <c r="C48" s="18" t="s">
        <v>16</v>
      </c>
      <c r="D48" s="19" t="s">
        <v>376</v>
      </c>
      <c r="E48" s="20" t="s">
        <v>17</v>
      </c>
      <c r="F48" s="21" t="s">
        <v>49</v>
      </c>
      <c r="G48" s="22" t="s">
        <v>20</v>
      </c>
      <c r="H48" s="23" t="s">
        <v>34</v>
      </c>
    </row>
    <row r="49" spans="2:8" s="1" customFormat="1" x14ac:dyDescent="0.15">
      <c r="B49" s="13" t="s">
        <v>1</v>
      </c>
      <c r="C49" s="14" t="s">
        <v>0</v>
      </c>
      <c r="D49" s="29" t="s">
        <v>65</v>
      </c>
      <c r="E49" s="30"/>
      <c r="F49" s="31"/>
      <c r="G49" s="15" t="s">
        <v>57</v>
      </c>
      <c r="H49" s="16" t="s">
        <v>50</v>
      </c>
    </row>
    <row r="50" spans="2:8" s="1" customFormat="1" x14ac:dyDescent="0.15">
      <c r="B50" s="32">
        <v>100008</v>
      </c>
      <c r="C50" s="2" t="s">
        <v>2</v>
      </c>
      <c r="D50" s="9">
        <f>ROUND(C12*720,0)</f>
        <v>4622</v>
      </c>
      <c r="E50" s="3" t="s">
        <v>3</v>
      </c>
      <c r="F50" s="11">
        <f>ROUND(C12*720,0)</f>
        <v>4622</v>
      </c>
      <c r="G50" s="4" t="s">
        <v>8</v>
      </c>
      <c r="H50" s="17" t="s">
        <v>29</v>
      </c>
    </row>
    <row r="51" spans="2:8" s="1" customFormat="1" ht="13.5" customHeight="1" x14ac:dyDescent="0.15">
      <c r="B51" s="33"/>
      <c r="C51" s="5" t="s">
        <v>4</v>
      </c>
      <c r="D51" s="9">
        <f>ROUND(C12*880,0)</f>
        <v>5650</v>
      </c>
      <c r="E51" s="6" t="s">
        <v>5</v>
      </c>
      <c r="F51" s="11">
        <f>ROUND(C12*880,0)</f>
        <v>5650</v>
      </c>
      <c r="G51" s="35">
        <v>100</v>
      </c>
      <c r="H51" s="17"/>
    </row>
    <row r="52" spans="2:8" s="1" customFormat="1" ht="13.5" customHeight="1" x14ac:dyDescent="0.15">
      <c r="B52" s="33"/>
      <c r="C52" s="7" t="s">
        <v>6</v>
      </c>
      <c r="D52" s="10">
        <v>5</v>
      </c>
      <c r="E52" s="8" t="s">
        <v>7</v>
      </c>
      <c r="F52" s="12">
        <f>ROUND(C12*530,0)</f>
        <v>3403</v>
      </c>
      <c r="G52" s="36"/>
      <c r="H52" s="17"/>
    </row>
    <row r="53" spans="2:8" s="1" customFormat="1" ht="14.25" thickBot="1" x14ac:dyDescent="0.2">
      <c r="B53" s="34"/>
      <c r="C53" s="18" t="s">
        <v>16</v>
      </c>
      <c r="D53" s="19" t="s">
        <v>393</v>
      </c>
      <c r="E53" s="20" t="s">
        <v>17</v>
      </c>
      <c r="F53" s="21" t="s">
        <v>52</v>
      </c>
      <c r="G53" s="22" t="s">
        <v>20</v>
      </c>
      <c r="H53" s="23" t="s">
        <v>37</v>
      </c>
    </row>
    <row r="54" spans="2:8" s="1" customFormat="1" x14ac:dyDescent="0.15">
      <c r="B54" s="13" t="s">
        <v>1</v>
      </c>
      <c r="C54" s="14" t="s">
        <v>0</v>
      </c>
      <c r="D54" s="29" t="s">
        <v>66</v>
      </c>
      <c r="E54" s="30"/>
      <c r="F54" s="31"/>
      <c r="G54" s="15" t="s">
        <v>57</v>
      </c>
      <c r="H54" s="16" t="s">
        <v>53</v>
      </c>
    </row>
    <row r="55" spans="2:8" s="1" customFormat="1" x14ac:dyDescent="0.15">
      <c r="B55" s="32">
        <v>100009</v>
      </c>
      <c r="C55" s="2" t="s">
        <v>2</v>
      </c>
      <c r="D55" s="9">
        <f>ROUND(C12*880,0)</f>
        <v>5650</v>
      </c>
      <c r="E55" s="3" t="s">
        <v>3</v>
      </c>
      <c r="F55" s="11">
        <f>ROUND(C12*880,0)</f>
        <v>5650</v>
      </c>
      <c r="G55" s="4" t="s">
        <v>8</v>
      </c>
      <c r="H55" s="17" t="s">
        <v>394</v>
      </c>
    </row>
    <row r="56" spans="2:8" s="1" customFormat="1" ht="13.5" customHeight="1" x14ac:dyDescent="0.15">
      <c r="B56" s="33"/>
      <c r="C56" s="5" t="s">
        <v>4</v>
      </c>
      <c r="D56" s="9">
        <f>ROUND(C12*720,0)</f>
        <v>4622</v>
      </c>
      <c r="E56" s="6" t="s">
        <v>5</v>
      </c>
      <c r="F56" s="11">
        <f>ROUND(C12*720,0)</f>
        <v>4622</v>
      </c>
      <c r="G56" s="35">
        <v>30</v>
      </c>
      <c r="H56" s="17"/>
    </row>
    <row r="57" spans="2:8" s="1" customFormat="1" ht="13.5" customHeight="1" x14ac:dyDescent="0.15">
      <c r="B57" s="33"/>
      <c r="C57" s="7" t="s">
        <v>6</v>
      </c>
      <c r="D57" s="10">
        <v>5</v>
      </c>
      <c r="E57" s="8" t="s">
        <v>7</v>
      </c>
      <c r="F57" s="12">
        <f>ROUND(C12*370,0)</f>
        <v>2375</v>
      </c>
      <c r="G57" s="36"/>
      <c r="H57" s="17"/>
    </row>
    <row r="58" spans="2:8" s="1" customFormat="1" ht="14.25" thickBot="1" x14ac:dyDescent="0.2">
      <c r="B58" s="34"/>
      <c r="C58" s="18" t="s">
        <v>16</v>
      </c>
      <c r="D58" s="19" t="s">
        <v>382</v>
      </c>
      <c r="E58" s="20" t="s">
        <v>17</v>
      </c>
      <c r="F58" s="21" t="s">
        <v>45</v>
      </c>
      <c r="G58" s="22" t="s">
        <v>20</v>
      </c>
      <c r="H58" s="23" t="s">
        <v>34</v>
      </c>
    </row>
    <row r="59" spans="2:8" s="1" customFormat="1" x14ac:dyDescent="0.15">
      <c r="B59" s="13" t="s">
        <v>1</v>
      </c>
      <c r="C59" s="14" t="s">
        <v>0</v>
      </c>
      <c r="D59" s="29" t="s">
        <v>67</v>
      </c>
      <c r="E59" s="30"/>
      <c r="F59" s="31"/>
      <c r="G59" s="15" t="s">
        <v>57</v>
      </c>
      <c r="H59" s="16" t="s">
        <v>55</v>
      </c>
    </row>
    <row r="60" spans="2:8" s="1" customFormat="1" x14ac:dyDescent="0.15">
      <c r="B60" s="32">
        <v>100010</v>
      </c>
      <c r="C60" s="2" t="s">
        <v>2</v>
      </c>
      <c r="D60" s="9">
        <f>ROUND(C12*880,0)</f>
        <v>5650</v>
      </c>
      <c r="E60" s="3" t="s">
        <v>3</v>
      </c>
      <c r="F60" s="11">
        <f>ROUND(C12*1936,0)</f>
        <v>12429</v>
      </c>
      <c r="G60" s="4" t="s">
        <v>8</v>
      </c>
      <c r="H60" s="17" t="s">
        <v>30</v>
      </c>
    </row>
    <row r="61" spans="2:8" s="1" customFormat="1" ht="13.5" customHeight="1" x14ac:dyDescent="0.15">
      <c r="B61" s="33"/>
      <c r="C61" s="5" t="s">
        <v>4</v>
      </c>
      <c r="D61" s="9">
        <f>ROUND(C12*720,0)</f>
        <v>4622</v>
      </c>
      <c r="E61" s="6" t="s">
        <v>5</v>
      </c>
      <c r="F61" s="11">
        <f>ROUND(C12*1584,0)</f>
        <v>10169</v>
      </c>
      <c r="G61" s="35">
        <v>100</v>
      </c>
      <c r="H61" s="17"/>
    </row>
    <row r="62" spans="2:8" s="1" customFormat="1" ht="13.5" customHeight="1" x14ac:dyDescent="0.15">
      <c r="B62" s="33"/>
      <c r="C62" s="7" t="s">
        <v>6</v>
      </c>
      <c r="D62" s="10">
        <v>3</v>
      </c>
      <c r="E62" s="8" t="s">
        <v>7</v>
      </c>
      <c r="F62" s="12">
        <f>ROUND(C12*370,0)</f>
        <v>2375</v>
      </c>
      <c r="G62" s="36"/>
      <c r="H62" s="17"/>
    </row>
    <row r="63" spans="2:8" s="1" customFormat="1" ht="14.25" thickBot="1" x14ac:dyDescent="0.2">
      <c r="B63" s="34"/>
      <c r="C63" s="18" t="s">
        <v>16</v>
      </c>
      <c r="D63" s="19" t="s">
        <v>395</v>
      </c>
      <c r="E63" s="20" t="s">
        <v>17</v>
      </c>
      <c r="F63" s="21" t="s">
        <v>396</v>
      </c>
      <c r="G63" s="22" t="s">
        <v>20</v>
      </c>
      <c r="H63" s="23" t="s">
        <v>37</v>
      </c>
    </row>
    <row r="64" spans="2:8" s="1" customFormat="1" x14ac:dyDescent="0.15">
      <c r="B64" s="13" t="s">
        <v>1</v>
      </c>
      <c r="C64" s="14" t="s">
        <v>0</v>
      </c>
      <c r="D64" s="29" t="s">
        <v>68</v>
      </c>
      <c r="E64" s="30"/>
      <c r="F64" s="31"/>
      <c r="G64" s="15" t="s">
        <v>57</v>
      </c>
      <c r="H64" s="16" t="s">
        <v>69</v>
      </c>
    </row>
    <row r="65" spans="2:8" s="1" customFormat="1" x14ac:dyDescent="0.15">
      <c r="B65" s="32">
        <v>100011</v>
      </c>
      <c r="C65" s="2" t="s">
        <v>2</v>
      </c>
      <c r="D65" s="9">
        <f>ROUND(C12*880,0)</f>
        <v>5650</v>
      </c>
      <c r="E65" s="3" t="s">
        <v>3</v>
      </c>
      <c r="F65" s="11">
        <f>ROUND(C12*880,0)</f>
        <v>5650</v>
      </c>
      <c r="G65" s="4" t="s">
        <v>8</v>
      </c>
      <c r="H65" s="17" t="s">
        <v>70</v>
      </c>
    </row>
    <row r="66" spans="2:8" s="1" customFormat="1" ht="13.5" customHeight="1" x14ac:dyDescent="0.15">
      <c r="B66" s="33"/>
      <c r="C66" s="5" t="s">
        <v>4</v>
      </c>
      <c r="D66" s="9">
        <f>ROUND(C12*720,0)</f>
        <v>4622</v>
      </c>
      <c r="E66" s="6" t="s">
        <v>5</v>
      </c>
      <c r="F66" s="11">
        <f>ROUND(C12*720,0)</f>
        <v>4622</v>
      </c>
      <c r="G66" s="35">
        <v>50</v>
      </c>
      <c r="H66" s="17"/>
    </row>
    <row r="67" spans="2:8" s="1" customFormat="1" ht="13.5" customHeight="1" x14ac:dyDescent="0.15">
      <c r="B67" s="33"/>
      <c r="C67" s="7" t="s">
        <v>6</v>
      </c>
      <c r="D67" s="10">
        <v>5</v>
      </c>
      <c r="E67" s="8" t="s">
        <v>7</v>
      </c>
      <c r="F67" s="12">
        <f>ROUND(C12*370,0)</f>
        <v>2375</v>
      </c>
      <c r="G67" s="36"/>
      <c r="H67" s="17"/>
    </row>
    <row r="68" spans="2:8" s="1" customFormat="1" ht="14.25" thickBot="1" x14ac:dyDescent="0.2">
      <c r="B68" s="34"/>
      <c r="C68" s="18" t="s">
        <v>16</v>
      </c>
      <c r="D68" s="19" t="s">
        <v>393</v>
      </c>
      <c r="E68" s="20" t="s">
        <v>17</v>
      </c>
      <c r="F68" s="21" t="s">
        <v>397</v>
      </c>
      <c r="G68" s="22" t="s">
        <v>20</v>
      </c>
      <c r="H68" s="23" t="s">
        <v>72</v>
      </c>
    </row>
    <row r="69" spans="2:8" s="1" customFormat="1" x14ac:dyDescent="0.15">
      <c r="B69" s="13" t="s">
        <v>1</v>
      </c>
      <c r="C69" s="14" t="s">
        <v>0</v>
      </c>
      <c r="D69" s="29" t="s">
        <v>73</v>
      </c>
      <c r="E69" s="30"/>
      <c r="F69" s="31"/>
      <c r="G69" s="15" t="s">
        <v>57</v>
      </c>
      <c r="H69" s="16" t="s">
        <v>74</v>
      </c>
    </row>
    <row r="70" spans="2:8" s="1" customFormat="1" x14ac:dyDescent="0.15">
      <c r="B70" s="32">
        <v>100012</v>
      </c>
      <c r="C70" s="2" t="s">
        <v>2</v>
      </c>
      <c r="D70" s="9">
        <f>ROUND(C12*880,0)</f>
        <v>5650</v>
      </c>
      <c r="E70" s="3" t="s">
        <v>3</v>
      </c>
      <c r="F70" s="11">
        <f>ROUND(C12*880,0)</f>
        <v>5650</v>
      </c>
      <c r="G70" s="4" t="s">
        <v>8</v>
      </c>
      <c r="H70" s="17" t="s">
        <v>75</v>
      </c>
    </row>
    <row r="71" spans="2:8" s="1" customFormat="1" ht="13.5" customHeight="1" x14ac:dyDescent="0.15">
      <c r="B71" s="33"/>
      <c r="C71" s="5" t="s">
        <v>4</v>
      </c>
      <c r="D71" s="9">
        <f>ROUND(C12*720,0)</f>
        <v>4622</v>
      </c>
      <c r="E71" s="6" t="s">
        <v>5</v>
      </c>
      <c r="F71" s="11">
        <f>ROUND(C12*720,0)</f>
        <v>4622</v>
      </c>
      <c r="G71" s="35">
        <v>100</v>
      </c>
      <c r="H71" s="17"/>
    </row>
    <row r="72" spans="2:8" s="1" customFormat="1" ht="13.5" customHeight="1" x14ac:dyDescent="0.15">
      <c r="B72" s="33"/>
      <c r="C72" s="7" t="s">
        <v>6</v>
      </c>
      <c r="D72" s="10">
        <v>5</v>
      </c>
      <c r="E72" s="8" t="s">
        <v>7</v>
      </c>
      <c r="F72" s="12">
        <f>ROUND(C12*370,0)</f>
        <v>2375</v>
      </c>
      <c r="G72" s="36"/>
      <c r="H72" s="17"/>
    </row>
    <row r="73" spans="2:8" s="1" customFormat="1" ht="14.25" thickBot="1" x14ac:dyDescent="0.2">
      <c r="B73" s="34"/>
      <c r="C73" s="18" t="s">
        <v>16</v>
      </c>
      <c r="D73" s="19" t="s">
        <v>389</v>
      </c>
      <c r="E73" s="20" t="s">
        <v>17</v>
      </c>
      <c r="F73" s="21" t="s">
        <v>33</v>
      </c>
      <c r="G73" s="22" t="s">
        <v>20</v>
      </c>
      <c r="H73" s="23" t="s">
        <v>37</v>
      </c>
    </row>
    <row r="74" spans="2:8" s="1" customFormat="1" x14ac:dyDescent="0.15">
      <c r="B74" s="13" t="s">
        <v>1</v>
      </c>
      <c r="C74" s="14" t="s">
        <v>0</v>
      </c>
      <c r="D74" s="29" t="s">
        <v>76</v>
      </c>
      <c r="E74" s="30"/>
      <c r="F74" s="31"/>
      <c r="G74" s="15" t="s">
        <v>57</v>
      </c>
      <c r="H74" s="16" t="s">
        <v>77</v>
      </c>
    </row>
    <row r="75" spans="2:8" s="1" customFormat="1" x14ac:dyDescent="0.15">
      <c r="B75" s="32">
        <v>100013</v>
      </c>
      <c r="C75" s="2" t="s">
        <v>2</v>
      </c>
      <c r="D75" s="9">
        <f>ROUND(C12*880,0)</f>
        <v>5650</v>
      </c>
      <c r="E75" s="3" t="s">
        <v>3</v>
      </c>
      <c r="F75" s="11">
        <f>ROUND(C12*1936,0)</f>
        <v>12429</v>
      </c>
      <c r="G75" s="4" t="s">
        <v>8</v>
      </c>
      <c r="H75" s="17" t="s">
        <v>78</v>
      </c>
    </row>
    <row r="76" spans="2:8" s="1" customFormat="1" ht="13.5" customHeight="1" x14ac:dyDescent="0.15">
      <c r="B76" s="33"/>
      <c r="C76" s="5" t="s">
        <v>4</v>
      </c>
      <c r="D76" s="9">
        <f>ROUND(C12*720,0)</f>
        <v>4622</v>
      </c>
      <c r="E76" s="6" t="s">
        <v>5</v>
      </c>
      <c r="F76" s="11">
        <f>ROUND(C12*1584,0)</f>
        <v>10169</v>
      </c>
      <c r="G76" s="35">
        <v>100</v>
      </c>
      <c r="H76" s="17"/>
    </row>
    <row r="77" spans="2:8" s="1" customFormat="1" ht="13.5" customHeight="1" x14ac:dyDescent="0.15">
      <c r="B77" s="33"/>
      <c r="C77" s="7" t="s">
        <v>6</v>
      </c>
      <c r="D77" s="10">
        <v>3</v>
      </c>
      <c r="E77" s="8" t="s">
        <v>7</v>
      </c>
      <c r="F77" s="12">
        <f>ROUND(C12*370,0)</f>
        <v>2375</v>
      </c>
      <c r="G77" s="36"/>
      <c r="H77" s="17"/>
    </row>
    <row r="78" spans="2:8" s="1" customFormat="1" ht="14.25" thickBot="1" x14ac:dyDescent="0.2">
      <c r="B78" s="34"/>
      <c r="C78" s="18" t="s">
        <v>16</v>
      </c>
      <c r="D78" s="19" t="s">
        <v>244</v>
      </c>
      <c r="E78" s="20" t="s">
        <v>17</v>
      </c>
      <c r="F78" s="21" t="s">
        <v>36</v>
      </c>
      <c r="G78" s="22" t="s">
        <v>20</v>
      </c>
      <c r="H78" s="23" t="s">
        <v>37</v>
      </c>
    </row>
    <row r="79" spans="2:8" s="1" customFormat="1" x14ac:dyDescent="0.15">
      <c r="B79" s="13" t="s">
        <v>1</v>
      </c>
      <c r="C79" s="14" t="s">
        <v>0</v>
      </c>
      <c r="D79" s="29" t="s">
        <v>79</v>
      </c>
      <c r="E79" s="30"/>
      <c r="F79" s="31"/>
      <c r="G79" s="15" t="s">
        <v>57</v>
      </c>
      <c r="H79" s="16" t="s">
        <v>80</v>
      </c>
    </row>
    <row r="80" spans="2:8" s="1" customFormat="1" x14ac:dyDescent="0.15">
      <c r="B80" s="32">
        <v>100014</v>
      </c>
      <c r="C80" s="2" t="s">
        <v>2</v>
      </c>
      <c r="D80" s="9">
        <f>ROUND(C12*880,0)</f>
        <v>5650</v>
      </c>
      <c r="E80" s="3" t="s">
        <v>3</v>
      </c>
      <c r="F80" s="11">
        <f>ROUND(C12*880,0)</f>
        <v>5650</v>
      </c>
      <c r="G80" s="4" t="s">
        <v>8</v>
      </c>
      <c r="H80" s="17" t="s">
        <v>81</v>
      </c>
    </row>
    <row r="81" spans="2:8" s="1" customFormat="1" ht="13.5" customHeight="1" x14ac:dyDescent="0.15">
      <c r="B81" s="33"/>
      <c r="C81" s="5" t="s">
        <v>4</v>
      </c>
      <c r="D81" s="9">
        <f>ROUND(C12*720,0)</f>
        <v>4622</v>
      </c>
      <c r="E81" s="6" t="s">
        <v>5</v>
      </c>
      <c r="F81" s="11">
        <f>ROUND(C12*720,0)</f>
        <v>4622</v>
      </c>
      <c r="G81" s="35">
        <v>100</v>
      </c>
      <c r="H81" s="17"/>
    </row>
    <row r="82" spans="2:8" s="1" customFormat="1" ht="13.5" customHeight="1" x14ac:dyDescent="0.15">
      <c r="B82" s="33"/>
      <c r="C82" s="7" t="s">
        <v>6</v>
      </c>
      <c r="D82" s="10">
        <v>5</v>
      </c>
      <c r="E82" s="8" t="s">
        <v>7</v>
      </c>
      <c r="F82" s="12">
        <f>ROUND(C12*370,0)</f>
        <v>2375</v>
      </c>
      <c r="G82" s="36"/>
      <c r="H82" s="17"/>
    </row>
    <row r="83" spans="2:8" s="1" customFormat="1" ht="14.25" thickBot="1" x14ac:dyDescent="0.2">
      <c r="B83" s="34"/>
      <c r="C83" s="18" t="s">
        <v>16</v>
      </c>
      <c r="D83" s="19" t="s">
        <v>393</v>
      </c>
      <c r="E83" s="20" t="s">
        <v>17</v>
      </c>
      <c r="F83" s="21" t="s">
        <v>54</v>
      </c>
      <c r="G83" s="22" t="s">
        <v>20</v>
      </c>
      <c r="H83" s="23" t="s">
        <v>37</v>
      </c>
    </row>
    <row r="84" spans="2:8" s="1" customFormat="1" x14ac:dyDescent="0.15">
      <c r="B84" s="13" t="s">
        <v>1</v>
      </c>
      <c r="C84" s="14" t="s">
        <v>0</v>
      </c>
      <c r="D84" s="29" t="s">
        <v>83</v>
      </c>
      <c r="E84" s="30"/>
      <c r="F84" s="31"/>
      <c r="G84" s="15" t="s">
        <v>57</v>
      </c>
      <c r="H84" s="16" t="s">
        <v>84</v>
      </c>
    </row>
    <row r="85" spans="2:8" s="1" customFormat="1" x14ac:dyDescent="0.15">
      <c r="B85" s="32">
        <v>100015</v>
      </c>
      <c r="C85" s="2" t="s">
        <v>2</v>
      </c>
      <c r="D85" s="9">
        <f>ROUND(C12*815,0)</f>
        <v>5232</v>
      </c>
      <c r="E85" s="3" t="s">
        <v>3</v>
      </c>
      <c r="F85" s="11">
        <f>ROUND(C12*830,0)</f>
        <v>5329</v>
      </c>
      <c r="G85" s="4" t="s">
        <v>8</v>
      </c>
      <c r="H85" s="17" t="s">
        <v>398</v>
      </c>
    </row>
    <row r="86" spans="2:8" s="1" customFormat="1" ht="13.5" customHeight="1" x14ac:dyDescent="0.15">
      <c r="B86" s="33"/>
      <c r="C86" s="5" t="s">
        <v>4</v>
      </c>
      <c r="D86" s="9">
        <f>ROUND(C12*815,0)</f>
        <v>5232</v>
      </c>
      <c r="E86" s="6" t="s">
        <v>5</v>
      </c>
      <c r="F86" s="11">
        <f>ROUND(C12*830,0)</f>
        <v>5329</v>
      </c>
      <c r="G86" s="35">
        <v>50</v>
      </c>
      <c r="H86" s="17"/>
    </row>
    <row r="87" spans="2:8" s="1" customFormat="1" ht="13.5" customHeight="1" x14ac:dyDescent="0.15">
      <c r="B87" s="33"/>
      <c r="C87" s="7" t="s">
        <v>6</v>
      </c>
      <c r="D87" s="10">
        <v>5</v>
      </c>
      <c r="E87" s="8" t="s">
        <v>7</v>
      </c>
      <c r="F87" s="12">
        <f>ROUND(C12*480,0)</f>
        <v>3082</v>
      </c>
      <c r="G87" s="36"/>
      <c r="H87" s="17"/>
    </row>
    <row r="88" spans="2:8" s="1" customFormat="1" ht="14.25" thickBot="1" x14ac:dyDescent="0.2">
      <c r="B88" s="34"/>
      <c r="C88" s="18" t="s">
        <v>16</v>
      </c>
      <c r="D88" s="19" t="s">
        <v>399</v>
      </c>
      <c r="E88" s="20" t="s">
        <v>17</v>
      </c>
      <c r="F88" s="21" t="s">
        <v>257</v>
      </c>
      <c r="G88" s="22" t="s">
        <v>20</v>
      </c>
      <c r="H88" s="23" t="s">
        <v>37</v>
      </c>
    </row>
    <row r="89" spans="2:8" s="1" customFormat="1" x14ac:dyDescent="0.15">
      <c r="B89" s="13" t="s">
        <v>1</v>
      </c>
      <c r="C89" s="14" t="s">
        <v>0</v>
      </c>
      <c r="D89" s="29" t="s">
        <v>86</v>
      </c>
      <c r="E89" s="30"/>
      <c r="F89" s="31"/>
      <c r="G89" s="15" t="s">
        <v>57</v>
      </c>
      <c r="H89" s="16" t="s">
        <v>35</v>
      </c>
    </row>
    <row r="90" spans="2:8" s="1" customFormat="1" x14ac:dyDescent="0.15">
      <c r="B90" s="32">
        <v>100016</v>
      </c>
      <c r="C90" s="2" t="s">
        <v>2</v>
      </c>
      <c r="D90" s="9">
        <f>ROUND(C12*720,0)</f>
        <v>4622</v>
      </c>
      <c r="E90" s="3" t="s">
        <v>3</v>
      </c>
      <c r="F90" s="11">
        <f>ROUND(C12*1584,0)</f>
        <v>10169</v>
      </c>
      <c r="G90" s="4" t="s">
        <v>8</v>
      </c>
      <c r="H90" s="17" t="s">
        <v>23</v>
      </c>
    </row>
    <row r="91" spans="2:8" s="1" customFormat="1" ht="13.5" customHeight="1" x14ac:dyDescent="0.15">
      <c r="B91" s="33"/>
      <c r="C91" s="5" t="s">
        <v>4</v>
      </c>
      <c r="D91" s="9">
        <f>ROUND(C12*880,0)</f>
        <v>5650</v>
      </c>
      <c r="E91" s="6" t="s">
        <v>5</v>
      </c>
      <c r="F91" s="11">
        <f>ROUND(C12*1936,0)</f>
        <v>12429</v>
      </c>
      <c r="G91" s="35">
        <v>100</v>
      </c>
      <c r="H91" s="17"/>
    </row>
    <row r="92" spans="2:8" s="1" customFormat="1" ht="13.5" customHeight="1" x14ac:dyDescent="0.15">
      <c r="B92" s="33"/>
      <c r="C92" s="7" t="s">
        <v>6</v>
      </c>
      <c r="D92" s="10">
        <v>3</v>
      </c>
      <c r="E92" s="8" t="s">
        <v>7</v>
      </c>
      <c r="F92" s="12">
        <f>ROUND(C12*530,0)</f>
        <v>3403</v>
      </c>
      <c r="G92" s="36"/>
      <c r="H92" s="17"/>
    </row>
    <row r="93" spans="2:8" s="1" customFormat="1" ht="14.25" thickBot="1" x14ac:dyDescent="0.2">
      <c r="B93" s="34"/>
      <c r="C93" s="18" t="s">
        <v>16</v>
      </c>
      <c r="D93" s="19" t="s">
        <v>400</v>
      </c>
      <c r="E93" s="20" t="s">
        <v>17</v>
      </c>
      <c r="F93" s="21" t="s">
        <v>36</v>
      </c>
      <c r="G93" s="22" t="s">
        <v>20</v>
      </c>
      <c r="H93" s="23" t="s">
        <v>37</v>
      </c>
    </row>
    <row r="94" spans="2:8" s="1" customFormat="1" x14ac:dyDescent="0.15">
      <c r="B94" s="13" t="s">
        <v>1</v>
      </c>
      <c r="C94" s="14" t="s">
        <v>0</v>
      </c>
      <c r="D94" s="29" t="s">
        <v>87</v>
      </c>
      <c r="E94" s="30"/>
      <c r="F94" s="31"/>
      <c r="G94" s="15" t="s">
        <v>57</v>
      </c>
      <c r="H94" s="16" t="s">
        <v>88</v>
      </c>
    </row>
    <row r="95" spans="2:8" s="1" customFormat="1" x14ac:dyDescent="0.15">
      <c r="B95" s="32">
        <v>100017</v>
      </c>
      <c r="C95" s="2" t="s">
        <v>2</v>
      </c>
      <c r="D95" s="9">
        <f>ROUND(C12*720,0)</f>
        <v>4622</v>
      </c>
      <c r="E95" s="3" t="s">
        <v>3</v>
      </c>
      <c r="F95" s="11">
        <f>ROUND(C12*720,0)</f>
        <v>4622</v>
      </c>
      <c r="G95" s="4" t="s">
        <v>8</v>
      </c>
      <c r="H95" s="17" t="s">
        <v>89</v>
      </c>
    </row>
    <row r="96" spans="2:8" s="1" customFormat="1" ht="13.5" customHeight="1" x14ac:dyDescent="0.15">
      <c r="B96" s="33"/>
      <c r="C96" s="5" t="s">
        <v>4</v>
      </c>
      <c r="D96" s="9">
        <f>ROUND(C12*880,0)</f>
        <v>5650</v>
      </c>
      <c r="E96" s="6" t="s">
        <v>5</v>
      </c>
      <c r="F96" s="11">
        <f>ROUND(C12*880,0)</f>
        <v>5650</v>
      </c>
      <c r="G96" s="35">
        <v>50</v>
      </c>
      <c r="H96" s="17"/>
    </row>
    <row r="97" spans="2:8" s="1" customFormat="1" ht="13.5" customHeight="1" x14ac:dyDescent="0.15">
      <c r="B97" s="33"/>
      <c r="C97" s="7" t="s">
        <v>6</v>
      </c>
      <c r="D97" s="10">
        <v>5</v>
      </c>
      <c r="E97" s="8" t="s">
        <v>7</v>
      </c>
      <c r="F97" s="12">
        <f>ROUND(C12*530,0)</f>
        <v>3403</v>
      </c>
      <c r="G97" s="36"/>
      <c r="H97" s="17"/>
    </row>
    <row r="98" spans="2:8" s="1" customFormat="1" ht="14.25" thickBot="1" x14ac:dyDescent="0.2">
      <c r="B98" s="34"/>
      <c r="C98" s="18" t="s">
        <v>16</v>
      </c>
      <c r="D98" s="19" t="s">
        <v>380</v>
      </c>
      <c r="E98" s="20" t="s">
        <v>17</v>
      </c>
      <c r="F98" s="21" t="s">
        <v>257</v>
      </c>
      <c r="G98" s="22" t="s">
        <v>20</v>
      </c>
      <c r="H98" s="23" t="s">
        <v>37</v>
      </c>
    </row>
    <row r="99" spans="2:8" s="1" customFormat="1" x14ac:dyDescent="0.15">
      <c r="B99" s="13" t="s">
        <v>1</v>
      </c>
      <c r="C99" s="14" t="s">
        <v>0</v>
      </c>
      <c r="D99" s="29" t="s">
        <v>90</v>
      </c>
      <c r="E99" s="30"/>
      <c r="F99" s="31"/>
      <c r="G99" s="15" t="s">
        <v>57</v>
      </c>
      <c r="H99" s="16" t="s">
        <v>91</v>
      </c>
    </row>
    <row r="100" spans="2:8" s="1" customFormat="1" x14ac:dyDescent="0.15">
      <c r="B100" s="32">
        <v>100018</v>
      </c>
      <c r="C100" s="2" t="s">
        <v>2</v>
      </c>
      <c r="D100" s="9">
        <f>ROUND(C12*815,0)</f>
        <v>5232</v>
      </c>
      <c r="E100" s="3" t="s">
        <v>3</v>
      </c>
      <c r="F100" s="11">
        <f>ROUND(C12*830,0)</f>
        <v>5329</v>
      </c>
      <c r="G100" s="4" t="s">
        <v>8</v>
      </c>
      <c r="H100" s="17" t="s">
        <v>92</v>
      </c>
    </row>
    <row r="101" spans="2:8" s="1" customFormat="1" ht="13.5" customHeight="1" x14ac:dyDescent="0.15">
      <c r="B101" s="33"/>
      <c r="C101" s="5" t="s">
        <v>4</v>
      </c>
      <c r="D101" s="9">
        <f>ROUND(C12*815,0)</f>
        <v>5232</v>
      </c>
      <c r="E101" s="6" t="s">
        <v>5</v>
      </c>
      <c r="F101" s="11">
        <f>ROUND(C12*830,0)</f>
        <v>5329</v>
      </c>
      <c r="G101" s="35">
        <v>100</v>
      </c>
      <c r="H101" s="17"/>
    </row>
    <row r="102" spans="2:8" s="1" customFormat="1" ht="13.5" customHeight="1" x14ac:dyDescent="0.15">
      <c r="B102" s="33"/>
      <c r="C102" s="7" t="s">
        <v>6</v>
      </c>
      <c r="D102" s="10">
        <v>5</v>
      </c>
      <c r="E102" s="8" t="s">
        <v>7</v>
      </c>
      <c r="F102" s="12">
        <f>ROUND(C12*480,0)</f>
        <v>3082</v>
      </c>
      <c r="G102" s="36"/>
      <c r="H102" s="17"/>
    </row>
    <row r="103" spans="2:8" s="1" customFormat="1" ht="14.25" thickBot="1" x14ac:dyDescent="0.2">
      <c r="B103" s="34"/>
      <c r="C103" s="18" t="s">
        <v>16</v>
      </c>
      <c r="D103" s="19" t="s">
        <v>244</v>
      </c>
      <c r="E103" s="20" t="s">
        <v>17</v>
      </c>
      <c r="F103" s="21" t="s">
        <v>93</v>
      </c>
      <c r="G103" s="22" t="s">
        <v>20</v>
      </c>
      <c r="H103" s="23" t="s">
        <v>37</v>
      </c>
    </row>
    <row r="104" spans="2:8" s="1" customFormat="1" x14ac:dyDescent="0.15">
      <c r="B104" s="13" t="s">
        <v>1</v>
      </c>
      <c r="C104" s="14" t="s">
        <v>0</v>
      </c>
      <c r="D104" s="29" t="s">
        <v>94</v>
      </c>
      <c r="E104" s="30"/>
      <c r="F104" s="31"/>
      <c r="G104" s="15" t="s">
        <v>57</v>
      </c>
      <c r="H104" s="16" t="s">
        <v>95</v>
      </c>
    </row>
    <row r="105" spans="2:8" s="1" customFormat="1" x14ac:dyDescent="0.15">
      <c r="B105" s="32">
        <v>100019</v>
      </c>
      <c r="C105" s="2" t="s">
        <v>2</v>
      </c>
      <c r="D105" s="9">
        <f>ROUND(C12*815,0)</f>
        <v>5232</v>
      </c>
      <c r="E105" s="3" t="s">
        <v>3</v>
      </c>
      <c r="F105" s="11">
        <f>ROUND(C12*830,0)</f>
        <v>5329</v>
      </c>
      <c r="G105" s="4" t="s">
        <v>8</v>
      </c>
      <c r="H105" s="17" t="s">
        <v>96</v>
      </c>
    </row>
    <row r="106" spans="2:8" s="1" customFormat="1" ht="13.5" customHeight="1" x14ac:dyDescent="0.15">
      <c r="B106" s="33"/>
      <c r="C106" s="5" t="s">
        <v>4</v>
      </c>
      <c r="D106" s="9">
        <f>ROUND(C12*815,0)</f>
        <v>5232</v>
      </c>
      <c r="E106" s="6" t="s">
        <v>5</v>
      </c>
      <c r="F106" s="11">
        <f>ROUND(C12*830,0)</f>
        <v>5329</v>
      </c>
      <c r="G106" s="35">
        <v>50</v>
      </c>
      <c r="H106" s="17"/>
    </row>
    <row r="107" spans="2:8" s="1" customFormat="1" ht="13.5" customHeight="1" x14ac:dyDescent="0.15">
      <c r="B107" s="33"/>
      <c r="C107" s="7" t="s">
        <v>6</v>
      </c>
      <c r="D107" s="10">
        <v>5</v>
      </c>
      <c r="E107" s="8" t="s">
        <v>7</v>
      </c>
      <c r="F107" s="12">
        <f>ROUND(C12*480,0)</f>
        <v>3082</v>
      </c>
      <c r="G107" s="36"/>
      <c r="H107" s="17"/>
    </row>
    <row r="108" spans="2:8" s="1" customFormat="1" ht="14.25" thickBot="1" x14ac:dyDescent="0.2">
      <c r="B108" s="34"/>
      <c r="C108" s="18" t="s">
        <v>16</v>
      </c>
      <c r="D108" s="19" t="s">
        <v>401</v>
      </c>
      <c r="E108" s="20" t="s">
        <v>17</v>
      </c>
      <c r="F108" s="21" t="s">
        <v>294</v>
      </c>
      <c r="G108" s="22" t="s">
        <v>20</v>
      </c>
      <c r="H108" s="23" t="s">
        <v>72</v>
      </c>
    </row>
    <row r="109" spans="2:8" s="1" customFormat="1" x14ac:dyDescent="0.15">
      <c r="B109" s="13" t="s">
        <v>1</v>
      </c>
      <c r="C109" s="14" t="s">
        <v>0</v>
      </c>
      <c r="D109" s="29" t="s">
        <v>97</v>
      </c>
      <c r="E109" s="30"/>
      <c r="F109" s="31"/>
      <c r="G109" s="15" t="s">
        <v>57</v>
      </c>
      <c r="H109" s="16" t="s">
        <v>98</v>
      </c>
    </row>
    <row r="110" spans="2:8" s="1" customFormat="1" x14ac:dyDescent="0.15">
      <c r="B110" s="32">
        <v>100020</v>
      </c>
      <c r="C110" s="2" t="s">
        <v>2</v>
      </c>
      <c r="D110" s="9">
        <f>ROUND(C12*880,0)</f>
        <v>5650</v>
      </c>
      <c r="E110" s="3" t="s">
        <v>3</v>
      </c>
      <c r="F110" s="11">
        <f>ROUND(C12*1936,0)</f>
        <v>12429</v>
      </c>
      <c r="G110" s="4" t="s">
        <v>8</v>
      </c>
      <c r="H110" s="17" t="s">
        <v>99</v>
      </c>
    </row>
    <row r="111" spans="2:8" s="1" customFormat="1" ht="13.5" customHeight="1" x14ac:dyDescent="0.15">
      <c r="B111" s="33"/>
      <c r="C111" s="5" t="s">
        <v>4</v>
      </c>
      <c r="D111" s="9">
        <f>ROUND(C12*720,0)</f>
        <v>4622</v>
      </c>
      <c r="E111" s="6" t="s">
        <v>5</v>
      </c>
      <c r="F111" s="11">
        <f>ROUND(C12*1584,0)</f>
        <v>10169</v>
      </c>
      <c r="G111" s="35">
        <v>100</v>
      </c>
      <c r="H111" s="17"/>
    </row>
    <row r="112" spans="2:8" s="1" customFormat="1" ht="13.5" customHeight="1" x14ac:dyDescent="0.15">
      <c r="B112" s="33"/>
      <c r="C112" s="7" t="s">
        <v>6</v>
      </c>
      <c r="D112" s="10">
        <v>3</v>
      </c>
      <c r="E112" s="8" t="s">
        <v>7</v>
      </c>
      <c r="F112" s="12">
        <f>ROUND(C12*370,0)</f>
        <v>2375</v>
      </c>
      <c r="G112" s="36"/>
      <c r="H112" s="17"/>
    </row>
    <row r="113" spans="2:8" s="1" customFormat="1" ht="14.25" thickBot="1" x14ac:dyDescent="0.2">
      <c r="B113" s="34"/>
      <c r="C113" s="18" t="s">
        <v>16</v>
      </c>
      <c r="D113" s="19" t="s">
        <v>402</v>
      </c>
      <c r="E113" s="20" t="s">
        <v>17</v>
      </c>
      <c r="F113" s="21" t="s">
        <v>100</v>
      </c>
      <c r="G113" s="22" t="s">
        <v>20</v>
      </c>
      <c r="H113" s="23" t="s">
        <v>37</v>
      </c>
    </row>
    <row r="114" spans="2:8" s="1" customFormat="1" x14ac:dyDescent="0.15">
      <c r="B114" s="13" t="s">
        <v>1</v>
      </c>
      <c r="C114" s="14" t="s">
        <v>0</v>
      </c>
      <c r="D114" s="29" t="s">
        <v>101</v>
      </c>
      <c r="E114" s="30"/>
      <c r="F114" s="31"/>
      <c r="G114" s="15" t="s">
        <v>57</v>
      </c>
      <c r="H114" s="16" t="s">
        <v>41</v>
      </c>
    </row>
    <row r="115" spans="2:8" s="1" customFormat="1" x14ac:dyDescent="0.15">
      <c r="B115" s="32">
        <v>100021</v>
      </c>
      <c r="C115" s="2" t="s">
        <v>2</v>
      </c>
      <c r="D115" s="9">
        <f>ROUND(C12*720,0)</f>
        <v>4622</v>
      </c>
      <c r="E115" s="3" t="s">
        <v>3</v>
      </c>
      <c r="F115" s="11">
        <f>ROUND(C12*720,0)</f>
        <v>4622</v>
      </c>
      <c r="G115" s="4" t="s">
        <v>8</v>
      </c>
      <c r="H115" s="17" t="s">
        <v>25</v>
      </c>
    </row>
    <row r="116" spans="2:8" s="1" customFormat="1" ht="13.5" customHeight="1" x14ac:dyDescent="0.15">
      <c r="B116" s="33"/>
      <c r="C116" s="5" t="s">
        <v>4</v>
      </c>
      <c r="D116" s="9">
        <f>ROUND(C12*880,0)</f>
        <v>5650</v>
      </c>
      <c r="E116" s="6" t="s">
        <v>5</v>
      </c>
      <c r="F116" s="11">
        <f>ROUND(C12*880,0)</f>
        <v>5650</v>
      </c>
      <c r="G116" s="35">
        <v>100</v>
      </c>
      <c r="H116" s="17"/>
    </row>
    <row r="117" spans="2:8" s="1" customFormat="1" ht="13.5" customHeight="1" x14ac:dyDescent="0.15">
      <c r="B117" s="33"/>
      <c r="C117" s="7" t="s">
        <v>6</v>
      </c>
      <c r="D117" s="10">
        <v>5</v>
      </c>
      <c r="E117" s="8" t="s">
        <v>7</v>
      </c>
      <c r="F117" s="12">
        <f>ROUND(C12*530,0)</f>
        <v>3403</v>
      </c>
      <c r="G117" s="36"/>
      <c r="H117" s="17"/>
    </row>
    <row r="118" spans="2:8" s="1" customFormat="1" ht="14.25" thickBot="1" x14ac:dyDescent="0.2">
      <c r="B118" s="34"/>
      <c r="C118" s="18" t="s">
        <v>16</v>
      </c>
      <c r="D118" s="19" t="s">
        <v>371</v>
      </c>
      <c r="E118" s="20" t="s">
        <v>17</v>
      </c>
      <c r="F118" s="21" t="s">
        <v>82</v>
      </c>
      <c r="G118" s="22" t="s">
        <v>20</v>
      </c>
      <c r="H118" s="23" t="s">
        <v>37</v>
      </c>
    </row>
    <row r="119" spans="2:8" s="1" customFormat="1" x14ac:dyDescent="0.15">
      <c r="B119" s="13" t="s">
        <v>1</v>
      </c>
      <c r="C119" s="14" t="s">
        <v>0</v>
      </c>
      <c r="D119" s="29" t="s">
        <v>102</v>
      </c>
      <c r="E119" s="30"/>
      <c r="F119" s="31"/>
      <c r="G119" s="15" t="s">
        <v>57</v>
      </c>
      <c r="H119" s="16" t="s">
        <v>50</v>
      </c>
    </row>
    <row r="120" spans="2:8" s="1" customFormat="1" x14ac:dyDescent="0.15">
      <c r="B120" s="32">
        <v>100022</v>
      </c>
      <c r="C120" s="2" t="s">
        <v>2</v>
      </c>
      <c r="D120" s="9">
        <f>ROUND(C12*880,0)</f>
        <v>5650</v>
      </c>
      <c r="E120" s="3" t="s">
        <v>3</v>
      </c>
      <c r="F120" s="11">
        <f>ROUND(C12*1936,0)</f>
        <v>12429</v>
      </c>
      <c r="G120" s="4" t="s">
        <v>8</v>
      </c>
      <c r="H120" s="17" t="s">
        <v>29</v>
      </c>
    </row>
    <row r="121" spans="2:8" s="1" customFormat="1" ht="13.5" customHeight="1" x14ac:dyDescent="0.15">
      <c r="B121" s="33"/>
      <c r="C121" s="5" t="s">
        <v>4</v>
      </c>
      <c r="D121" s="9">
        <f>ROUND(C12*720,0)</f>
        <v>4622</v>
      </c>
      <c r="E121" s="6" t="s">
        <v>5</v>
      </c>
      <c r="F121" s="11">
        <f>ROUND(C12*1584,0)</f>
        <v>10169</v>
      </c>
      <c r="G121" s="35">
        <v>100</v>
      </c>
      <c r="H121" s="17"/>
    </row>
    <row r="122" spans="2:8" s="1" customFormat="1" ht="13.5" customHeight="1" x14ac:dyDescent="0.15">
      <c r="B122" s="33"/>
      <c r="C122" s="7" t="s">
        <v>6</v>
      </c>
      <c r="D122" s="10">
        <v>3</v>
      </c>
      <c r="E122" s="8" t="s">
        <v>7</v>
      </c>
      <c r="F122" s="12">
        <f>ROUND(C12*370,0)</f>
        <v>2375</v>
      </c>
      <c r="G122" s="36"/>
      <c r="H122" s="17"/>
    </row>
    <row r="123" spans="2:8" s="1" customFormat="1" ht="14.25" thickBot="1" x14ac:dyDescent="0.2">
      <c r="B123" s="34"/>
      <c r="C123" s="18" t="s">
        <v>16</v>
      </c>
      <c r="D123" s="19" t="s">
        <v>399</v>
      </c>
      <c r="E123" s="20" t="s">
        <v>17</v>
      </c>
      <c r="F123" s="21" t="s">
        <v>293</v>
      </c>
      <c r="G123" s="22" t="s">
        <v>20</v>
      </c>
      <c r="H123" s="23" t="s">
        <v>37</v>
      </c>
    </row>
    <row r="124" spans="2:8" s="1" customFormat="1" x14ac:dyDescent="0.15">
      <c r="B124" s="13" t="s">
        <v>1</v>
      </c>
      <c r="C124" s="14" t="s">
        <v>0</v>
      </c>
      <c r="D124" s="29" t="s">
        <v>103</v>
      </c>
      <c r="E124" s="30"/>
      <c r="F124" s="31"/>
      <c r="G124" s="15" t="s">
        <v>57</v>
      </c>
      <c r="H124" s="16" t="s">
        <v>104</v>
      </c>
    </row>
    <row r="125" spans="2:8" s="1" customFormat="1" x14ac:dyDescent="0.15">
      <c r="B125" s="32">
        <v>100023</v>
      </c>
      <c r="C125" s="2" t="s">
        <v>2</v>
      </c>
      <c r="D125" s="9">
        <f>ROUND(C12*720,0)</f>
        <v>4622</v>
      </c>
      <c r="E125" s="3" t="s">
        <v>3</v>
      </c>
      <c r="F125" s="11">
        <f>ROUND(C12*720,0)</f>
        <v>4622</v>
      </c>
      <c r="G125" s="4" t="s">
        <v>8</v>
      </c>
      <c r="H125" s="17" t="s">
        <v>105</v>
      </c>
    </row>
    <row r="126" spans="2:8" s="1" customFormat="1" ht="13.5" customHeight="1" x14ac:dyDescent="0.15">
      <c r="B126" s="33"/>
      <c r="C126" s="5" t="s">
        <v>4</v>
      </c>
      <c r="D126" s="9">
        <f>ROUND(C12*880,0)</f>
        <v>5650</v>
      </c>
      <c r="E126" s="6" t="s">
        <v>5</v>
      </c>
      <c r="F126" s="11">
        <f>ROUND(C12*880,0)</f>
        <v>5650</v>
      </c>
      <c r="G126" s="35">
        <v>50</v>
      </c>
      <c r="H126" s="17"/>
    </row>
    <row r="127" spans="2:8" s="1" customFormat="1" ht="13.5" customHeight="1" x14ac:dyDescent="0.15">
      <c r="B127" s="33"/>
      <c r="C127" s="7" t="s">
        <v>6</v>
      </c>
      <c r="D127" s="10">
        <v>5</v>
      </c>
      <c r="E127" s="8" t="s">
        <v>7</v>
      </c>
      <c r="F127" s="12">
        <f>ROUND(C12*530,0)</f>
        <v>3403</v>
      </c>
      <c r="G127" s="36"/>
      <c r="H127" s="17"/>
    </row>
    <row r="128" spans="2:8" s="1" customFormat="1" ht="14.25" thickBot="1" x14ac:dyDescent="0.2">
      <c r="B128" s="34"/>
      <c r="C128" s="18" t="s">
        <v>16</v>
      </c>
      <c r="D128" s="19" t="s">
        <v>380</v>
      </c>
      <c r="E128" s="20" t="s">
        <v>17</v>
      </c>
      <c r="F128" s="21" t="s">
        <v>51</v>
      </c>
      <c r="G128" s="22" t="s">
        <v>20</v>
      </c>
      <c r="H128" s="23" t="s">
        <v>106</v>
      </c>
    </row>
    <row r="129" spans="2:8" s="1" customFormat="1" x14ac:dyDescent="0.15">
      <c r="B129" s="13" t="s">
        <v>1</v>
      </c>
      <c r="C129" s="14" t="s">
        <v>0</v>
      </c>
      <c r="D129" s="29" t="s">
        <v>107</v>
      </c>
      <c r="E129" s="30"/>
      <c r="F129" s="31"/>
      <c r="G129" s="15" t="s">
        <v>57</v>
      </c>
      <c r="H129" s="16" t="s">
        <v>108</v>
      </c>
    </row>
    <row r="130" spans="2:8" s="1" customFormat="1" x14ac:dyDescent="0.15">
      <c r="B130" s="32">
        <v>100024</v>
      </c>
      <c r="C130" s="2" t="s">
        <v>2</v>
      </c>
      <c r="D130" s="9">
        <f>ROUND(C12*815,0)</f>
        <v>5232</v>
      </c>
      <c r="E130" s="3" t="s">
        <v>3</v>
      </c>
      <c r="F130" s="11">
        <f>ROUND(C12*830,0)</f>
        <v>5329</v>
      </c>
      <c r="G130" s="4" t="s">
        <v>8</v>
      </c>
      <c r="H130" s="17" t="s">
        <v>109</v>
      </c>
    </row>
    <row r="131" spans="2:8" s="1" customFormat="1" ht="13.5" customHeight="1" x14ac:dyDescent="0.15">
      <c r="B131" s="33"/>
      <c r="C131" s="5" t="s">
        <v>4</v>
      </c>
      <c r="D131" s="9">
        <f>ROUND(C12*815,0)</f>
        <v>5232</v>
      </c>
      <c r="E131" s="6" t="s">
        <v>5</v>
      </c>
      <c r="F131" s="11">
        <f>ROUND(C12*830,0)</f>
        <v>5329</v>
      </c>
      <c r="G131" s="35">
        <v>100</v>
      </c>
      <c r="H131" s="17"/>
    </row>
    <row r="132" spans="2:8" s="1" customFormat="1" ht="13.5" customHeight="1" x14ac:dyDescent="0.15">
      <c r="B132" s="33"/>
      <c r="C132" s="7" t="s">
        <v>6</v>
      </c>
      <c r="D132" s="10">
        <v>5</v>
      </c>
      <c r="E132" s="8" t="s">
        <v>7</v>
      </c>
      <c r="F132" s="12">
        <f>ROUND(C12*480,0)</f>
        <v>3082</v>
      </c>
      <c r="G132" s="36"/>
      <c r="H132" s="17"/>
    </row>
    <row r="133" spans="2:8" s="1" customFormat="1" ht="14.25" thickBot="1" x14ac:dyDescent="0.2">
      <c r="B133" s="34"/>
      <c r="C133" s="18" t="s">
        <v>16</v>
      </c>
      <c r="D133" s="19" t="s">
        <v>377</v>
      </c>
      <c r="E133" s="20" t="s">
        <v>17</v>
      </c>
      <c r="F133" s="21" t="s">
        <v>100</v>
      </c>
      <c r="G133" s="22" t="s">
        <v>20</v>
      </c>
      <c r="H133" s="23" t="s">
        <v>37</v>
      </c>
    </row>
    <row r="134" spans="2:8" s="1" customFormat="1" x14ac:dyDescent="0.15">
      <c r="B134" s="13" t="s">
        <v>1</v>
      </c>
      <c r="C134" s="14" t="s">
        <v>0</v>
      </c>
      <c r="D134" s="29" t="s">
        <v>110</v>
      </c>
      <c r="E134" s="30"/>
      <c r="F134" s="31"/>
      <c r="G134" s="15" t="s">
        <v>57</v>
      </c>
      <c r="H134" s="16" t="s">
        <v>111</v>
      </c>
    </row>
    <row r="135" spans="2:8" s="1" customFormat="1" x14ac:dyDescent="0.15">
      <c r="B135" s="32">
        <v>100025</v>
      </c>
      <c r="C135" s="2" t="s">
        <v>2</v>
      </c>
      <c r="D135" s="9">
        <f>ROUND(C12*880,0)</f>
        <v>5650</v>
      </c>
      <c r="E135" s="3" t="s">
        <v>3</v>
      </c>
      <c r="F135" s="11">
        <f>ROUND(C12*880,0)</f>
        <v>5650</v>
      </c>
      <c r="G135" s="4" t="s">
        <v>8</v>
      </c>
      <c r="H135" s="17" t="s">
        <v>112</v>
      </c>
    </row>
    <row r="136" spans="2:8" s="1" customFormat="1" ht="13.5" customHeight="1" x14ac:dyDescent="0.15">
      <c r="B136" s="33"/>
      <c r="C136" s="5" t="s">
        <v>4</v>
      </c>
      <c r="D136" s="9">
        <f>ROUND(C12*720,0)</f>
        <v>4622</v>
      </c>
      <c r="E136" s="6" t="s">
        <v>5</v>
      </c>
      <c r="F136" s="11">
        <f>ROUND(C12*720,0)</f>
        <v>4622</v>
      </c>
      <c r="G136" s="35">
        <v>100</v>
      </c>
      <c r="H136" s="17"/>
    </row>
    <row r="137" spans="2:8" s="1" customFormat="1" ht="13.5" customHeight="1" x14ac:dyDescent="0.15">
      <c r="B137" s="33"/>
      <c r="C137" s="7" t="s">
        <v>6</v>
      </c>
      <c r="D137" s="10">
        <v>5</v>
      </c>
      <c r="E137" s="8" t="s">
        <v>7</v>
      </c>
      <c r="F137" s="12">
        <f>ROUND(C12*370,0)</f>
        <v>2375</v>
      </c>
      <c r="G137" s="36"/>
      <c r="H137" s="17"/>
    </row>
    <row r="138" spans="2:8" s="1" customFormat="1" ht="14.25" thickBot="1" x14ac:dyDescent="0.2">
      <c r="B138" s="34"/>
      <c r="C138" s="18" t="s">
        <v>16</v>
      </c>
      <c r="D138" s="19" t="s">
        <v>377</v>
      </c>
      <c r="E138" s="20" t="s">
        <v>17</v>
      </c>
      <c r="F138" s="21" t="s">
        <v>56</v>
      </c>
      <c r="G138" s="22" t="s">
        <v>20</v>
      </c>
      <c r="H138" s="23" t="s">
        <v>114</v>
      </c>
    </row>
    <row r="139" spans="2:8" s="1" customFormat="1" x14ac:dyDescent="0.15">
      <c r="B139" s="13" t="s">
        <v>1</v>
      </c>
      <c r="C139" s="14" t="s">
        <v>0</v>
      </c>
      <c r="D139" s="29" t="s">
        <v>115</v>
      </c>
      <c r="E139" s="30"/>
      <c r="F139" s="31"/>
      <c r="G139" s="15" t="s">
        <v>57</v>
      </c>
      <c r="H139" s="16" t="s">
        <v>116</v>
      </c>
    </row>
    <row r="140" spans="2:8" s="1" customFormat="1" x14ac:dyDescent="0.15">
      <c r="B140" s="32">
        <v>100026</v>
      </c>
      <c r="C140" s="2" t="s">
        <v>2</v>
      </c>
      <c r="D140" s="9">
        <f>ROUND(C12*720,0)</f>
        <v>4622</v>
      </c>
      <c r="E140" s="3" t="s">
        <v>3</v>
      </c>
      <c r="F140" s="11">
        <f>ROUND(C12*1584,0)</f>
        <v>10169</v>
      </c>
      <c r="G140" s="4" t="s">
        <v>8</v>
      </c>
      <c r="H140" s="17" t="s">
        <v>117</v>
      </c>
    </row>
    <row r="141" spans="2:8" s="1" customFormat="1" ht="13.5" customHeight="1" x14ac:dyDescent="0.15">
      <c r="B141" s="33"/>
      <c r="C141" s="5" t="s">
        <v>4</v>
      </c>
      <c r="D141" s="9">
        <f>ROUND(C12*880,0)</f>
        <v>5650</v>
      </c>
      <c r="E141" s="6" t="s">
        <v>5</v>
      </c>
      <c r="F141" s="11">
        <f>ROUND(C12*1936,0)</f>
        <v>12429</v>
      </c>
      <c r="G141" s="35">
        <v>100</v>
      </c>
      <c r="H141" s="17"/>
    </row>
    <row r="142" spans="2:8" s="1" customFormat="1" ht="13.5" customHeight="1" x14ac:dyDescent="0.15">
      <c r="B142" s="33"/>
      <c r="C142" s="7" t="s">
        <v>6</v>
      </c>
      <c r="D142" s="10">
        <v>3</v>
      </c>
      <c r="E142" s="8" t="s">
        <v>7</v>
      </c>
      <c r="F142" s="12">
        <f>ROUND(C12*530,0)</f>
        <v>3403</v>
      </c>
      <c r="G142" s="36"/>
      <c r="H142" s="17"/>
    </row>
    <row r="143" spans="2:8" s="1" customFormat="1" ht="14.25" thickBot="1" x14ac:dyDescent="0.2">
      <c r="B143" s="34"/>
      <c r="C143" s="18" t="s">
        <v>16</v>
      </c>
      <c r="D143" s="19" t="s">
        <v>376</v>
      </c>
      <c r="E143" s="20" t="s">
        <v>17</v>
      </c>
      <c r="F143" s="21" t="s">
        <v>49</v>
      </c>
      <c r="G143" s="22" t="s">
        <v>20</v>
      </c>
      <c r="H143" s="23" t="s">
        <v>37</v>
      </c>
    </row>
    <row r="144" spans="2:8" s="1" customFormat="1" x14ac:dyDescent="0.15">
      <c r="B144" s="13" t="s">
        <v>1</v>
      </c>
      <c r="C144" s="14" t="s">
        <v>0</v>
      </c>
      <c r="D144" s="29" t="s">
        <v>118</v>
      </c>
      <c r="E144" s="30"/>
      <c r="F144" s="31"/>
      <c r="G144" s="15" t="s">
        <v>57</v>
      </c>
      <c r="H144" s="16" t="s">
        <v>119</v>
      </c>
    </row>
    <row r="145" spans="2:8" s="1" customFormat="1" x14ac:dyDescent="0.15">
      <c r="B145" s="32">
        <v>100027</v>
      </c>
      <c r="C145" s="2" t="s">
        <v>2</v>
      </c>
      <c r="D145" s="9">
        <f>ROUND(C12*880,0)</f>
        <v>5650</v>
      </c>
      <c r="E145" s="3" t="s">
        <v>3</v>
      </c>
      <c r="F145" s="11">
        <f>ROUND(C12*880,0)</f>
        <v>5650</v>
      </c>
      <c r="G145" s="4" t="s">
        <v>8</v>
      </c>
      <c r="H145" s="17" t="s">
        <v>120</v>
      </c>
    </row>
    <row r="146" spans="2:8" s="1" customFormat="1" ht="13.5" customHeight="1" x14ac:dyDescent="0.15">
      <c r="B146" s="33"/>
      <c r="C146" s="5" t="s">
        <v>4</v>
      </c>
      <c r="D146" s="9">
        <f>ROUND(C12*720,0)</f>
        <v>4622</v>
      </c>
      <c r="E146" s="6" t="s">
        <v>5</v>
      </c>
      <c r="F146" s="11">
        <f>ROUND(C12*720,0)</f>
        <v>4622</v>
      </c>
      <c r="G146" s="35">
        <v>100</v>
      </c>
      <c r="H146" s="17"/>
    </row>
    <row r="147" spans="2:8" s="1" customFormat="1" ht="13.5" customHeight="1" x14ac:dyDescent="0.15">
      <c r="B147" s="33"/>
      <c r="C147" s="7" t="s">
        <v>6</v>
      </c>
      <c r="D147" s="10">
        <v>5</v>
      </c>
      <c r="E147" s="8" t="s">
        <v>7</v>
      </c>
      <c r="F147" s="12">
        <f>ROUND(C12*370,0)</f>
        <v>2375</v>
      </c>
      <c r="G147" s="36"/>
      <c r="H147" s="17"/>
    </row>
    <row r="148" spans="2:8" s="1" customFormat="1" ht="14.25" thickBot="1" x14ac:dyDescent="0.2">
      <c r="B148" s="34"/>
      <c r="C148" s="18" t="s">
        <v>16</v>
      </c>
      <c r="D148" s="19" t="s">
        <v>371</v>
      </c>
      <c r="E148" s="20" t="s">
        <v>17</v>
      </c>
      <c r="F148" s="21" t="s">
        <v>82</v>
      </c>
      <c r="G148" s="22" t="s">
        <v>20</v>
      </c>
      <c r="H148" s="23" t="s">
        <v>121</v>
      </c>
    </row>
    <row r="149" spans="2:8" s="1" customFormat="1" x14ac:dyDescent="0.15">
      <c r="B149" s="13" t="s">
        <v>1</v>
      </c>
      <c r="C149" s="14" t="s">
        <v>0</v>
      </c>
      <c r="D149" s="29" t="s">
        <v>122</v>
      </c>
      <c r="E149" s="30"/>
      <c r="F149" s="31"/>
      <c r="G149" s="15" t="s">
        <v>57</v>
      </c>
      <c r="H149" s="16" t="s">
        <v>55</v>
      </c>
    </row>
    <row r="150" spans="2:8" s="1" customFormat="1" x14ac:dyDescent="0.15">
      <c r="B150" s="32">
        <v>100028</v>
      </c>
      <c r="C150" s="2" t="s">
        <v>2</v>
      </c>
      <c r="D150" s="9">
        <f>ROUND(C12*815,0)</f>
        <v>5232</v>
      </c>
      <c r="E150" s="3" t="s">
        <v>3</v>
      </c>
      <c r="F150" s="11">
        <f>ROUND(C12*830,0)</f>
        <v>5329</v>
      </c>
      <c r="G150" s="4" t="s">
        <v>8</v>
      </c>
      <c r="H150" s="17" t="s">
        <v>30</v>
      </c>
    </row>
    <row r="151" spans="2:8" s="1" customFormat="1" ht="13.5" customHeight="1" x14ac:dyDescent="0.15">
      <c r="B151" s="33"/>
      <c r="C151" s="5" t="s">
        <v>4</v>
      </c>
      <c r="D151" s="9">
        <f>ROUND(C12*815,0)</f>
        <v>5232</v>
      </c>
      <c r="E151" s="6" t="s">
        <v>5</v>
      </c>
      <c r="F151" s="11">
        <f>ROUND(C12*830,0)</f>
        <v>5329</v>
      </c>
      <c r="G151" s="35">
        <v>100</v>
      </c>
      <c r="H151" s="17"/>
    </row>
    <row r="152" spans="2:8" s="1" customFormat="1" ht="13.5" customHeight="1" x14ac:dyDescent="0.15">
      <c r="B152" s="33"/>
      <c r="C152" s="7" t="s">
        <v>6</v>
      </c>
      <c r="D152" s="10">
        <v>5</v>
      </c>
      <c r="E152" s="8" t="s">
        <v>7</v>
      </c>
      <c r="F152" s="12">
        <f>ROUND(C12*480,0)</f>
        <v>3082</v>
      </c>
      <c r="G152" s="36"/>
      <c r="H152" s="17"/>
    </row>
    <row r="153" spans="2:8" s="1" customFormat="1" ht="14.25" thickBot="1" x14ac:dyDescent="0.2">
      <c r="B153" s="34"/>
      <c r="C153" s="18" t="s">
        <v>16</v>
      </c>
      <c r="D153" s="19" t="s">
        <v>390</v>
      </c>
      <c r="E153" s="20" t="s">
        <v>17</v>
      </c>
      <c r="F153" s="21" t="s">
        <v>396</v>
      </c>
      <c r="G153" s="22" t="s">
        <v>20</v>
      </c>
      <c r="H153" s="23" t="s">
        <v>37</v>
      </c>
    </row>
    <row r="154" spans="2:8" s="1" customFormat="1" x14ac:dyDescent="0.15">
      <c r="B154" s="13" t="s">
        <v>1</v>
      </c>
      <c r="C154" s="14" t="s">
        <v>0</v>
      </c>
      <c r="D154" s="29" t="s">
        <v>123</v>
      </c>
      <c r="E154" s="30"/>
      <c r="F154" s="31"/>
      <c r="G154" s="15" t="s">
        <v>57</v>
      </c>
      <c r="H154" s="16" t="s">
        <v>124</v>
      </c>
    </row>
    <row r="155" spans="2:8" s="1" customFormat="1" x14ac:dyDescent="0.15">
      <c r="B155" s="32">
        <v>100029</v>
      </c>
      <c r="C155" s="2" t="s">
        <v>2</v>
      </c>
      <c r="D155" s="9">
        <f>ROUND(C12*815,0)</f>
        <v>5232</v>
      </c>
      <c r="E155" s="3" t="s">
        <v>3</v>
      </c>
      <c r="F155" s="11">
        <f>ROUND(C12*830,0)</f>
        <v>5329</v>
      </c>
      <c r="G155" s="4" t="s">
        <v>8</v>
      </c>
      <c r="H155" s="17" t="s">
        <v>403</v>
      </c>
    </row>
    <row r="156" spans="2:8" s="1" customFormat="1" ht="13.5" customHeight="1" x14ac:dyDescent="0.15">
      <c r="B156" s="33"/>
      <c r="C156" s="5" t="s">
        <v>4</v>
      </c>
      <c r="D156" s="9">
        <f>ROUND(C12*815,0)</f>
        <v>5232</v>
      </c>
      <c r="E156" s="6" t="s">
        <v>5</v>
      </c>
      <c r="F156" s="11">
        <f>ROUND(C12*830,0)</f>
        <v>5329</v>
      </c>
      <c r="G156" s="35">
        <v>30</v>
      </c>
      <c r="H156" s="17"/>
    </row>
    <row r="157" spans="2:8" s="1" customFormat="1" ht="13.5" customHeight="1" x14ac:dyDescent="0.15">
      <c r="B157" s="33"/>
      <c r="C157" s="7" t="s">
        <v>6</v>
      </c>
      <c r="D157" s="10">
        <v>5</v>
      </c>
      <c r="E157" s="8" t="s">
        <v>7</v>
      </c>
      <c r="F157" s="12">
        <f>ROUND(C12*480,0)</f>
        <v>3082</v>
      </c>
      <c r="G157" s="36"/>
      <c r="H157" s="17"/>
    </row>
    <row r="158" spans="2:8" s="1" customFormat="1" ht="14.25" thickBot="1" x14ac:dyDescent="0.2">
      <c r="B158" s="34"/>
      <c r="C158" s="18" t="s">
        <v>16</v>
      </c>
      <c r="D158" s="19" t="s">
        <v>399</v>
      </c>
      <c r="E158" s="20" t="s">
        <v>17</v>
      </c>
      <c r="F158" s="21" t="s">
        <v>82</v>
      </c>
      <c r="G158" s="22" t="s">
        <v>20</v>
      </c>
      <c r="H158" s="23" t="s">
        <v>125</v>
      </c>
    </row>
    <row r="159" spans="2:8" s="1" customFormat="1" x14ac:dyDescent="0.15">
      <c r="B159" s="13" t="s">
        <v>1</v>
      </c>
      <c r="C159" s="14" t="s">
        <v>0</v>
      </c>
      <c r="D159" s="29" t="s">
        <v>126</v>
      </c>
      <c r="E159" s="30"/>
      <c r="F159" s="31"/>
      <c r="G159" s="15" t="s">
        <v>57</v>
      </c>
      <c r="H159" s="16" t="s">
        <v>80</v>
      </c>
    </row>
    <row r="160" spans="2:8" s="1" customFormat="1" x14ac:dyDescent="0.15">
      <c r="B160" s="32">
        <v>100030</v>
      </c>
      <c r="C160" s="2" t="s">
        <v>2</v>
      </c>
      <c r="D160" s="9">
        <f>ROUND(C12*720,0)</f>
        <v>4622</v>
      </c>
      <c r="E160" s="3" t="s">
        <v>3</v>
      </c>
      <c r="F160" s="11">
        <f>ROUND(C12*1584,0)</f>
        <v>10169</v>
      </c>
      <c r="G160" s="4" t="s">
        <v>8</v>
      </c>
      <c r="H160" s="17" t="s">
        <v>81</v>
      </c>
    </row>
    <row r="161" spans="2:8" s="1" customFormat="1" ht="13.5" customHeight="1" x14ac:dyDescent="0.15">
      <c r="B161" s="33"/>
      <c r="C161" s="5" t="s">
        <v>4</v>
      </c>
      <c r="D161" s="9">
        <f>ROUND(C12*880,0)</f>
        <v>5650</v>
      </c>
      <c r="E161" s="6" t="s">
        <v>5</v>
      </c>
      <c r="F161" s="11">
        <f>ROUND(C12*1936,0)</f>
        <v>12429</v>
      </c>
      <c r="G161" s="35">
        <v>100</v>
      </c>
      <c r="H161" s="17"/>
    </row>
    <row r="162" spans="2:8" s="1" customFormat="1" ht="13.5" customHeight="1" x14ac:dyDescent="0.15">
      <c r="B162" s="33"/>
      <c r="C162" s="7" t="s">
        <v>6</v>
      </c>
      <c r="D162" s="10">
        <v>3</v>
      </c>
      <c r="E162" s="8" t="s">
        <v>7</v>
      </c>
      <c r="F162" s="12">
        <f>ROUND(C12*530,0)</f>
        <v>3403</v>
      </c>
      <c r="G162" s="36"/>
      <c r="H162" s="17"/>
    </row>
    <row r="163" spans="2:8" s="1" customFormat="1" ht="14.25" thickBot="1" x14ac:dyDescent="0.2">
      <c r="B163" s="34"/>
      <c r="C163" s="18" t="s">
        <v>16</v>
      </c>
      <c r="D163" s="19" t="s">
        <v>371</v>
      </c>
      <c r="E163" s="20" t="s">
        <v>17</v>
      </c>
      <c r="F163" s="21" t="s">
        <v>82</v>
      </c>
      <c r="G163" s="22" t="s">
        <v>20</v>
      </c>
      <c r="H163" s="23" t="s">
        <v>37</v>
      </c>
    </row>
    <row r="164" spans="2:8" s="1" customFormat="1" x14ac:dyDescent="0.15">
      <c r="B164" s="13" t="s">
        <v>1</v>
      </c>
      <c r="C164" s="14" t="s">
        <v>0</v>
      </c>
      <c r="D164" s="29" t="s">
        <v>127</v>
      </c>
      <c r="E164" s="30"/>
      <c r="F164" s="31"/>
      <c r="G164" s="15" t="s">
        <v>57</v>
      </c>
      <c r="H164" s="16" t="s">
        <v>128</v>
      </c>
    </row>
    <row r="165" spans="2:8" s="1" customFormat="1" x14ac:dyDescent="0.15">
      <c r="B165" s="32">
        <v>100031</v>
      </c>
      <c r="C165" s="2" t="s">
        <v>2</v>
      </c>
      <c r="D165" s="9">
        <f>ROUND(C12*880,0)</f>
        <v>5650</v>
      </c>
      <c r="E165" s="3" t="s">
        <v>3</v>
      </c>
      <c r="F165" s="11">
        <f>ROUND(C12*880,0)</f>
        <v>5650</v>
      </c>
      <c r="G165" s="4" t="s">
        <v>8</v>
      </c>
      <c r="H165" s="17" t="s">
        <v>129</v>
      </c>
    </row>
    <row r="166" spans="2:8" s="1" customFormat="1" ht="13.5" customHeight="1" x14ac:dyDescent="0.15">
      <c r="B166" s="33"/>
      <c r="C166" s="5" t="s">
        <v>4</v>
      </c>
      <c r="D166" s="9">
        <f>ROUND(C12*720,0)</f>
        <v>4622</v>
      </c>
      <c r="E166" s="6" t="s">
        <v>5</v>
      </c>
      <c r="F166" s="11">
        <f>ROUND(C12*720,0)</f>
        <v>4622</v>
      </c>
      <c r="G166" s="35">
        <v>100</v>
      </c>
      <c r="H166" s="17"/>
    </row>
    <row r="167" spans="2:8" s="1" customFormat="1" ht="13.5" customHeight="1" x14ac:dyDescent="0.15">
      <c r="B167" s="33"/>
      <c r="C167" s="7" t="s">
        <v>6</v>
      </c>
      <c r="D167" s="10">
        <v>5</v>
      </c>
      <c r="E167" s="8" t="s">
        <v>7</v>
      </c>
      <c r="F167" s="12">
        <f>ROUND(C12*370,0)</f>
        <v>2375</v>
      </c>
      <c r="G167" s="36"/>
      <c r="H167" s="17"/>
    </row>
    <row r="168" spans="2:8" s="1" customFormat="1" ht="14.25" thickBot="1" x14ac:dyDescent="0.2">
      <c r="B168" s="34"/>
      <c r="C168" s="18" t="s">
        <v>16</v>
      </c>
      <c r="D168" s="19" t="s">
        <v>402</v>
      </c>
      <c r="E168" s="20" t="s">
        <v>17</v>
      </c>
      <c r="F168" s="21" t="s">
        <v>100</v>
      </c>
      <c r="G168" s="22" t="s">
        <v>20</v>
      </c>
      <c r="H168" s="23" t="s">
        <v>37</v>
      </c>
    </row>
    <row r="169" spans="2:8" s="1" customFormat="1" x14ac:dyDescent="0.15">
      <c r="B169" s="13" t="s">
        <v>1</v>
      </c>
      <c r="C169" s="14" t="s">
        <v>0</v>
      </c>
      <c r="D169" s="29" t="s">
        <v>130</v>
      </c>
      <c r="E169" s="30"/>
      <c r="F169" s="31"/>
      <c r="G169" s="15" t="s">
        <v>57</v>
      </c>
      <c r="H169" s="16" t="s">
        <v>131</v>
      </c>
    </row>
    <row r="170" spans="2:8" s="1" customFormat="1" x14ac:dyDescent="0.15">
      <c r="B170" s="32">
        <v>100032</v>
      </c>
      <c r="C170" s="2" t="s">
        <v>2</v>
      </c>
      <c r="D170" s="9">
        <f>ROUND(C12*720,0)</f>
        <v>4622</v>
      </c>
      <c r="E170" s="3" t="s">
        <v>3</v>
      </c>
      <c r="F170" s="11">
        <f>ROUND(C12*1584,0)</f>
        <v>10169</v>
      </c>
      <c r="G170" s="4" t="s">
        <v>8</v>
      </c>
      <c r="H170" s="17" t="s">
        <v>132</v>
      </c>
    </row>
    <row r="171" spans="2:8" s="1" customFormat="1" ht="13.5" customHeight="1" x14ac:dyDescent="0.15">
      <c r="B171" s="33"/>
      <c r="C171" s="5" t="s">
        <v>4</v>
      </c>
      <c r="D171" s="9">
        <f>ROUND(C12*880,0)</f>
        <v>5650</v>
      </c>
      <c r="E171" s="6" t="s">
        <v>5</v>
      </c>
      <c r="F171" s="11">
        <f>ROUND(C12*1936,0)</f>
        <v>12429</v>
      </c>
      <c r="G171" s="35">
        <v>100</v>
      </c>
      <c r="H171" s="17"/>
    </row>
    <row r="172" spans="2:8" s="1" customFormat="1" ht="13.5" customHeight="1" x14ac:dyDescent="0.15">
      <c r="B172" s="33"/>
      <c r="C172" s="7" t="s">
        <v>6</v>
      </c>
      <c r="D172" s="10">
        <v>3</v>
      </c>
      <c r="E172" s="8" t="s">
        <v>7</v>
      </c>
      <c r="F172" s="12">
        <f>ROUND(C12*530,0)</f>
        <v>3403</v>
      </c>
      <c r="G172" s="36"/>
      <c r="H172" s="17"/>
    </row>
    <row r="173" spans="2:8" s="1" customFormat="1" ht="14.25" thickBot="1" x14ac:dyDescent="0.2">
      <c r="B173" s="34"/>
      <c r="C173" s="18" t="s">
        <v>16</v>
      </c>
      <c r="D173" s="19" t="s">
        <v>395</v>
      </c>
      <c r="E173" s="20" t="s">
        <v>17</v>
      </c>
      <c r="F173" s="21" t="s">
        <v>48</v>
      </c>
      <c r="G173" s="22" t="s">
        <v>20</v>
      </c>
      <c r="H173" s="23" t="s">
        <v>37</v>
      </c>
    </row>
    <row r="174" spans="2:8" s="1" customFormat="1" x14ac:dyDescent="0.15">
      <c r="B174" s="13" t="s">
        <v>1</v>
      </c>
      <c r="C174" s="14" t="s">
        <v>0</v>
      </c>
      <c r="D174" s="29" t="s">
        <v>133</v>
      </c>
      <c r="E174" s="30"/>
      <c r="F174" s="31"/>
      <c r="G174" s="15" t="s">
        <v>57</v>
      </c>
      <c r="H174" s="16" t="s">
        <v>134</v>
      </c>
    </row>
    <row r="175" spans="2:8" s="1" customFormat="1" x14ac:dyDescent="0.15">
      <c r="B175" s="32">
        <v>100033</v>
      </c>
      <c r="C175" s="2" t="s">
        <v>2</v>
      </c>
      <c r="D175" s="9">
        <f>ROUND(C12*815,0)</f>
        <v>5232</v>
      </c>
      <c r="E175" s="3" t="s">
        <v>3</v>
      </c>
      <c r="F175" s="11">
        <f>ROUND(C12*830,0)</f>
        <v>5329</v>
      </c>
      <c r="G175" s="4" t="s">
        <v>8</v>
      </c>
      <c r="H175" s="17" t="s">
        <v>135</v>
      </c>
    </row>
    <row r="176" spans="2:8" s="1" customFormat="1" ht="13.5" customHeight="1" x14ac:dyDescent="0.15">
      <c r="B176" s="33"/>
      <c r="C176" s="5" t="s">
        <v>4</v>
      </c>
      <c r="D176" s="9">
        <f>ROUND(C12*815,0)</f>
        <v>5232</v>
      </c>
      <c r="E176" s="6" t="s">
        <v>5</v>
      </c>
      <c r="F176" s="11">
        <f>ROUND(C12*830,0)</f>
        <v>5329</v>
      </c>
      <c r="G176" s="35">
        <v>50</v>
      </c>
      <c r="H176" s="17"/>
    </row>
    <row r="177" spans="2:8" s="1" customFormat="1" ht="13.5" customHeight="1" x14ac:dyDescent="0.15">
      <c r="B177" s="33"/>
      <c r="C177" s="7" t="s">
        <v>6</v>
      </c>
      <c r="D177" s="10">
        <v>5</v>
      </c>
      <c r="E177" s="8" t="s">
        <v>7</v>
      </c>
      <c r="F177" s="12">
        <f>ROUND(C12*480,0)</f>
        <v>3082</v>
      </c>
      <c r="G177" s="36"/>
      <c r="H177" s="17"/>
    </row>
    <row r="178" spans="2:8" s="1" customFormat="1" ht="14.25" thickBot="1" x14ac:dyDescent="0.2">
      <c r="B178" s="34"/>
      <c r="C178" s="18" t="s">
        <v>16</v>
      </c>
      <c r="D178" s="19" t="s">
        <v>376</v>
      </c>
      <c r="E178" s="20" t="s">
        <v>17</v>
      </c>
      <c r="F178" s="21" t="s">
        <v>49</v>
      </c>
      <c r="G178" s="22" t="s">
        <v>20</v>
      </c>
      <c r="H178" s="23" t="s">
        <v>136</v>
      </c>
    </row>
    <row r="179" spans="2:8" s="1" customFormat="1" x14ac:dyDescent="0.15">
      <c r="B179" s="13" t="s">
        <v>1</v>
      </c>
      <c r="C179" s="14" t="s">
        <v>0</v>
      </c>
      <c r="D179" s="29" t="s">
        <v>137</v>
      </c>
      <c r="E179" s="30"/>
      <c r="F179" s="31"/>
      <c r="G179" s="15" t="s">
        <v>57</v>
      </c>
      <c r="H179" s="16" t="s">
        <v>35</v>
      </c>
    </row>
    <row r="180" spans="2:8" s="1" customFormat="1" x14ac:dyDescent="0.15">
      <c r="B180" s="32">
        <v>100034</v>
      </c>
      <c r="C180" s="2" t="s">
        <v>2</v>
      </c>
      <c r="D180" s="9">
        <f>ROUND(C12*720,0)</f>
        <v>4622</v>
      </c>
      <c r="E180" s="3" t="s">
        <v>3</v>
      </c>
      <c r="F180" s="11">
        <f>ROUND(C12*720,0)</f>
        <v>4622</v>
      </c>
      <c r="G180" s="4" t="s">
        <v>8</v>
      </c>
      <c r="H180" s="17" t="s">
        <v>23</v>
      </c>
    </row>
    <row r="181" spans="2:8" s="1" customFormat="1" ht="13.5" customHeight="1" x14ac:dyDescent="0.15">
      <c r="B181" s="33"/>
      <c r="C181" s="5" t="s">
        <v>4</v>
      </c>
      <c r="D181" s="9">
        <f>ROUND(C12*880,0)</f>
        <v>5650</v>
      </c>
      <c r="E181" s="6" t="s">
        <v>5</v>
      </c>
      <c r="F181" s="11">
        <f>ROUND(C12*880,0)</f>
        <v>5650</v>
      </c>
      <c r="G181" s="35">
        <v>100</v>
      </c>
      <c r="H181" s="17"/>
    </row>
    <row r="182" spans="2:8" s="1" customFormat="1" ht="13.5" customHeight="1" x14ac:dyDescent="0.15">
      <c r="B182" s="33"/>
      <c r="C182" s="7" t="s">
        <v>6</v>
      </c>
      <c r="D182" s="10">
        <v>5</v>
      </c>
      <c r="E182" s="8" t="s">
        <v>7</v>
      </c>
      <c r="F182" s="12">
        <f>ROUND(C12*530,0)</f>
        <v>3403</v>
      </c>
      <c r="G182" s="36"/>
      <c r="H182" s="17"/>
    </row>
    <row r="183" spans="2:8" s="1" customFormat="1" ht="14.25" thickBot="1" x14ac:dyDescent="0.2">
      <c r="B183" s="34"/>
      <c r="C183" s="18" t="s">
        <v>16</v>
      </c>
      <c r="D183" s="19" t="s">
        <v>404</v>
      </c>
      <c r="E183" s="20" t="s">
        <v>17</v>
      </c>
      <c r="F183" s="21" t="s">
        <v>100</v>
      </c>
      <c r="G183" s="22" t="s">
        <v>20</v>
      </c>
      <c r="H183" s="23" t="s">
        <v>37</v>
      </c>
    </row>
    <row r="184" spans="2:8" s="1" customFormat="1" x14ac:dyDescent="0.15">
      <c r="B184" s="13" t="s">
        <v>1</v>
      </c>
      <c r="C184" s="14" t="s">
        <v>0</v>
      </c>
      <c r="D184" s="29" t="s">
        <v>138</v>
      </c>
      <c r="E184" s="30"/>
      <c r="F184" s="31"/>
      <c r="G184" s="15" t="s">
        <v>57</v>
      </c>
      <c r="H184" s="16" t="s">
        <v>139</v>
      </c>
    </row>
    <row r="185" spans="2:8" s="1" customFormat="1" x14ac:dyDescent="0.15">
      <c r="B185" s="32">
        <v>100035</v>
      </c>
      <c r="C185" s="2" t="s">
        <v>2</v>
      </c>
      <c r="D185" s="9">
        <f>ROUND(C12*815,0)</f>
        <v>5232</v>
      </c>
      <c r="E185" s="3" t="s">
        <v>3</v>
      </c>
      <c r="F185" s="11">
        <f>ROUND(C12*830,0)</f>
        <v>5329</v>
      </c>
      <c r="G185" s="4" t="s">
        <v>8</v>
      </c>
      <c r="H185" s="17" t="s">
        <v>140</v>
      </c>
    </row>
    <row r="186" spans="2:8" s="1" customFormat="1" ht="13.5" customHeight="1" x14ac:dyDescent="0.15">
      <c r="B186" s="33"/>
      <c r="C186" s="5" t="s">
        <v>4</v>
      </c>
      <c r="D186" s="9">
        <f>ROUND(C12*815,0)</f>
        <v>5232</v>
      </c>
      <c r="E186" s="6" t="s">
        <v>5</v>
      </c>
      <c r="F186" s="11">
        <f>ROUND(C12*830,0)</f>
        <v>5329</v>
      </c>
      <c r="G186" s="35">
        <v>50</v>
      </c>
      <c r="H186" s="17"/>
    </row>
    <row r="187" spans="2:8" s="1" customFormat="1" ht="13.5" customHeight="1" x14ac:dyDescent="0.15">
      <c r="B187" s="33"/>
      <c r="C187" s="7" t="s">
        <v>6</v>
      </c>
      <c r="D187" s="10">
        <v>5</v>
      </c>
      <c r="E187" s="8" t="s">
        <v>7</v>
      </c>
      <c r="F187" s="12">
        <f>ROUND(C12*480,0)</f>
        <v>3082</v>
      </c>
      <c r="G187" s="36"/>
      <c r="H187" s="17"/>
    </row>
    <row r="188" spans="2:8" s="1" customFormat="1" ht="14.25" thickBot="1" x14ac:dyDescent="0.2">
      <c r="B188" s="34"/>
      <c r="C188" s="18" t="s">
        <v>16</v>
      </c>
      <c r="D188" s="19" t="s">
        <v>39</v>
      </c>
      <c r="E188" s="20" t="s">
        <v>17</v>
      </c>
      <c r="F188" s="21" t="s">
        <v>405</v>
      </c>
      <c r="G188" s="22" t="s">
        <v>20</v>
      </c>
      <c r="H188" s="23" t="s">
        <v>37</v>
      </c>
    </row>
    <row r="189" spans="2:8" s="1" customFormat="1" x14ac:dyDescent="0.15">
      <c r="B189" s="13" t="s">
        <v>1</v>
      </c>
      <c r="C189" s="14" t="s">
        <v>0</v>
      </c>
      <c r="D189" s="29" t="s">
        <v>141</v>
      </c>
      <c r="E189" s="30"/>
      <c r="F189" s="31"/>
      <c r="G189" s="15" t="s">
        <v>57</v>
      </c>
      <c r="H189" s="16" t="s">
        <v>41</v>
      </c>
    </row>
    <row r="190" spans="2:8" s="1" customFormat="1" x14ac:dyDescent="0.15">
      <c r="B190" s="32">
        <v>100036</v>
      </c>
      <c r="C190" s="2" t="s">
        <v>2</v>
      </c>
      <c r="D190" s="9">
        <f>ROUND(C12*880,0)</f>
        <v>5650</v>
      </c>
      <c r="E190" s="3" t="s">
        <v>3</v>
      </c>
      <c r="F190" s="11">
        <f>ROUND(C12*1936,0)</f>
        <v>12429</v>
      </c>
      <c r="G190" s="4" t="s">
        <v>8</v>
      </c>
      <c r="H190" s="17" t="s">
        <v>25</v>
      </c>
    </row>
    <row r="191" spans="2:8" s="1" customFormat="1" ht="13.5" customHeight="1" x14ac:dyDescent="0.15">
      <c r="B191" s="33"/>
      <c r="C191" s="5" t="s">
        <v>4</v>
      </c>
      <c r="D191" s="9">
        <f>ROUND(C12*720,0)</f>
        <v>4622</v>
      </c>
      <c r="E191" s="6" t="s">
        <v>5</v>
      </c>
      <c r="F191" s="11">
        <f>ROUND(C12*1584,0)</f>
        <v>10169</v>
      </c>
      <c r="G191" s="35">
        <v>100</v>
      </c>
      <c r="H191" s="17"/>
    </row>
    <row r="192" spans="2:8" s="1" customFormat="1" ht="13.5" customHeight="1" x14ac:dyDescent="0.15">
      <c r="B192" s="33"/>
      <c r="C192" s="7" t="s">
        <v>6</v>
      </c>
      <c r="D192" s="10">
        <v>3</v>
      </c>
      <c r="E192" s="8" t="s">
        <v>7</v>
      </c>
      <c r="F192" s="12">
        <f>ROUND(C12*370,0)</f>
        <v>2375</v>
      </c>
      <c r="G192" s="36"/>
      <c r="H192" s="17"/>
    </row>
    <row r="193" spans="2:8" s="1" customFormat="1" ht="14.25" thickBot="1" x14ac:dyDescent="0.2">
      <c r="B193" s="34"/>
      <c r="C193" s="18" t="s">
        <v>16</v>
      </c>
      <c r="D193" s="19" t="s">
        <v>377</v>
      </c>
      <c r="E193" s="20" t="s">
        <v>17</v>
      </c>
      <c r="F193" s="21" t="s">
        <v>56</v>
      </c>
      <c r="G193" s="22" t="s">
        <v>20</v>
      </c>
      <c r="H193" s="23" t="s">
        <v>37</v>
      </c>
    </row>
    <row r="194" spans="2:8" s="1" customFormat="1" x14ac:dyDescent="0.15">
      <c r="B194" s="13" t="s">
        <v>1</v>
      </c>
      <c r="C194" s="14" t="s">
        <v>0</v>
      </c>
      <c r="D194" s="29" t="s">
        <v>142</v>
      </c>
      <c r="E194" s="30"/>
      <c r="F194" s="31"/>
      <c r="G194" s="15" t="s">
        <v>57</v>
      </c>
      <c r="H194" s="16" t="s">
        <v>143</v>
      </c>
    </row>
    <row r="195" spans="2:8" s="1" customFormat="1" x14ac:dyDescent="0.15">
      <c r="B195" s="32">
        <v>100037</v>
      </c>
      <c r="C195" s="2" t="s">
        <v>2</v>
      </c>
      <c r="D195" s="9">
        <f>ROUND(C12*720,0)</f>
        <v>4622</v>
      </c>
      <c r="E195" s="3" t="s">
        <v>3</v>
      </c>
      <c r="F195" s="11">
        <f>ROUND(C12*720,0)</f>
        <v>4622</v>
      </c>
      <c r="G195" s="4" t="s">
        <v>8</v>
      </c>
      <c r="H195" s="17" t="s">
        <v>144</v>
      </c>
    </row>
    <row r="196" spans="2:8" s="1" customFormat="1" ht="13.5" customHeight="1" x14ac:dyDescent="0.15">
      <c r="B196" s="33"/>
      <c r="C196" s="5" t="s">
        <v>4</v>
      </c>
      <c r="D196" s="9">
        <f>ROUND(C12*880,0)</f>
        <v>5650</v>
      </c>
      <c r="E196" s="6" t="s">
        <v>5</v>
      </c>
      <c r="F196" s="11">
        <f>ROUND(C12*880,0)</f>
        <v>5650</v>
      </c>
      <c r="G196" s="35">
        <v>50</v>
      </c>
      <c r="H196" s="17"/>
    </row>
    <row r="197" spans="2:8" s="1" customFormat="1" ht="13.5" customHeight="1" x14ac:dyDescent="0.15">
      <c r="B197" s="33"/>
      <c r="C197" s="7" t="s">
        <v>6</v>
      </c>
      <c r="D197" s="10">
        <v>5</v>
      </c>
      <c r="E197" s="8" t="s">
        <v>7</v>
      </c>
      <c r="F197" s="12">
        <f>ROUND(C12*530,0)</f>
        <v>3403</v>
      </c>
      <c r="G197" s="36"/>
      <c r="H197" s="17"/>
    </row>
    <row r="198" spans="2:8" s="1" customFormat="1" ht="14.25" thickBot="1" x14ac:dyDescent="0.2">
      <c r="B198" s="34"/>
      <c r="C198" s="18" t="s">
        <v>16</v>
      </c>
      <c r="D198" s="19" t="s">
        <v>406</v>
      </c>
      <c r="E198" s="20" t="s">
        <v>17</v>
      </c>
      <c r="F198" s="21" t="s">
        <v>396</v>
      </c>
      <c r="G198" s="22" t="s">
        <v>20</v>
      </c>
      <c r="H198" s="23" t="s">
        <v>72</v>
      </c>
    </row>
    <row r="199" spans="2:8" s="1" customFormat="1" x14ac:dyDescent="0.15">
      <c r="B199" s="13" t="s">
        <v>1</v>
      </c>
      <c r="C199" s="14" t="s">
        <v>0</v>
      </c>
      <c r="D199" s="29" t="s">
        <v>145</v>
      </c>
      <c r="E199" s="30"/>
      <c r="F199" s="31"/>
      <c r="G199" s="15" t="s">
        <v>57</v>
      </c>
      <c r="H199" s="16" t="s">
        <v>146</v>
      </c>
    </row>
    <row r="200" spans="2:8" s="1" customFormat="1" x14ac:dyDescent="0.15">
      <c r="B200" s="32">
        <v>100038</v>
      </c>
      <c r="C200" s="2" t="s">
        <v>2</v>
      </c>
      <c r="D200" s="9">
        <f>ROUND(C12*815,0)</f>
        <v>5232</v>
      </c>
      <c r="E200" s="3" t="s">
        <v>3</v>
      </c>
      <c r="F200" s="11">
        <f>ROUND(C12*830,0)</f>
        <v>5329</v>
      </c>
      <c r="G200" s="4" t="s">
        <v>8</v>
      </c>
      <c r="H200" s="17" t="s">
        <v>147</v>
      </c>
    </row>
    <row r="201" spans="2:8" s="1" customFormat="1" ht="13.5" customHeight="1" x14ac:dyDescent="0.15">
      <c r="B201" s="33"/>
      <c r="C201" s="5" t="s">
        <v>4</v>
      </c>
      <c r="D201" s="9">
        <f>ROUND(C12*815,0)</f>
        <v>5232</v>
      </c>
      <c r="E201" s="6" t="s">
        <v>5</v>
      </c>
      <c r="F201" s="11">
        <f>ROUND(C12*830,0)</f>
        <v>5329</v>
      </c>
      <c r="G201" s="35">
        <v>100</v>
      </c>
      <c r="H201" s="17"/>
    </row>
    <row r="202" spans="2:8" s="1" customFormat="1" ht="13.5" customHeight="1" x14ac:dyDescent="0.15">
      <c r="B202" s="33"/>
      <c r="C202" s="7" t="s">
        <v>6</v>
      </c>
      <c r="D202" s="10">
        <v>5</v>
      </c>
      <c r="E202" s="8" t="s">
        <v>7</v>
      </c>
      <c r="F202" s="12">
        <f>ROUND(C12*480,0)</f>
        <v>3082</v>
      </c>
      <c r="G202" s="36"/>
      <c r="H202" s="17"/>
    </row>
    <row r="203" spans="2:8" s="1" customFormat="1" ht="14.25" thickBot="1" x14ac:dyDescent="0.2">
      <c r="B203" s="34"/>
      <c r="C203" s="18" t="s">
        <v>16</v>
      </c>
      <c r="D203" s="19" t="s">
        <v>407</v>
      </c>
      <c r="E203" s="20" t="s">
        <v>17</v>
      </c>
      <c r="F203" s="21" t="s">
        <v>48</v>
      </c>
      <c r="G203" s="22" t="s">
        <v>20</v>
      </c>
      <c r="H203" s="23" t="s">
        <v>37</v>
      </c>
    </row>
    <row r="204" spans="2:8" s="1" customFormat="1" x14ac:dyDescent="0.15">
      <c r="B204" s="13" t="s">
        <v>1</v>
      </c>
      <c r="C204" s="14" t="s">
        <v>0</v>
      </c>
      <c r="D204" s="29" t="s">
        <v>148</v>
      </c>
      <c r="E204" s="30"/>
      <c r="F204" s="31"/>
      <c r="G204" s="15" t="s">
        <v>57</v>
      </c>
      <c r="H204" s="16" t="s">
        <v>53</v>
      </c>
    </row>
    <row r="205" spans="2:8" s="1" customFormat="1" x14ac:dyDescent="0.15">
      <c r="B205" s="32">
        <v>100039</v>
      </c>
      <c r="C205" s="2" t="s">
        <v>2</v>
      </c>
      <c r="D205" s="9">
        <f>ROUND(C12*880,0)</f>
        <v>5650</v>
      </c>
      <c r="E205" s="3" t="s">
        <v>3</v>
      </c>
      <c r="F205" s="11">
        <f>ROUND(C12*880,0)</f>
        <v>5650</v>
      </c>
      <c r="G205" s="4" t="s">
        <v>8</v>
      </c>
      <c r="H205" s="17" t="s">
        <v>394</v>
      </c>
    </row>
    <row r="206" spans="2:8" s="1" customFormat="1" ht="13.5" customHeight="1" x14ac:dyDescent="0.15">
      <c r="B206" s="33"/>
      <c r="C206" s="5" t="s">
        <v>4</v>
      </c>
      <c r="D206" s="9">
        <f>ROUND(C12*720,0)</f>
        <v>4622</v>
      </c>
      <c r="E206" s="6" t="s">
        <v>5</v>
      </c>
      <c r="F206" s="11">
        <f>ROUND(C12*720,0)</f>
        <v>4622</v>
      </c>
      <c r="G206" s="35">
        <v>30</v>
      </c>
      <c r="H206" s="17"/>
    </row>
    <row r="207" spans="2:8" s="1" customFormat="1" ht="13.5" customHeight="1" x14ac:dyDescent="0.15">
      <c r="B207" s="33"/>
      <c r="C207" s="7" t="s">
        <v>6</v>
      </c>
      <c r="D207" s="10">
        <v>5</v>
      </c>
      <c r="E207" s="8" t="s">
        <v>7</v>
      </c>
      <c r="F207" s="12">
        <f>ROUND(C12*370,0)</f>
        <v>2375</v>
      </c>
      <c r="G207" s="36"/>
      <c r="H207" s="17"/>
    </row>
    <row r="208" spans="2:8" s="1" customFormat="1" ht="14.25" thickBot="1" x14ac:dyDescent="0.2">
      <c r="B208" s="34"/>
      <c r="C208" s="18" t="s">
        <v>16</v>
      </c>
      <c r="D208" s="19" t="s">
        <v>243</v>
      </c>
      <c r="E208" s="20" t="s">
        <v>17</v>
      </c>
      <c r="F208" s="21" t="s">
        <v>113</v>
      </c>
      <c r="G208" s="22" t="s">
        <v>20</v>
      </c>
      <c r="H208" s="23" t="s">
        <v>37</v>
      </c>
    </row>
    <row r="209" spans="2:8" s="1" customFormat="1" x14ac:dyDescent="0.15">
      <c r="B209" s="13" t="s">
        <v>1</v>
      </c>
      <c r="C209" s="14" t="s">
        <v>0</v>
      </c>
      <c r="D209" s="29" t="s">
        <v>149</v>
      </c>
      <c r="E209" s="30"/>
      <c r="F209" s="31"/>
      <c r="G209" s="15" t="s">
        <v>57</v>
      </c>
      <c r="H209" s="16" t="s">
        <v>44</v>
      </c>
    </row>
    <row r="210" spans="2:8" s="1" customFormat="1" x14ac:dyDescent="0.15">
      <c r="B210" s="32">
        <v>100040</v>
      </c>
      <c r="C210" s="2" t="s">
        <v>2</v>
      </c>
      <c r="D210" s="9">
        <f>ROUND(C12*880,0)</f>
        <v>5650</v>
      </c>
      <c r="E210" s="3" t="s">
        <v>3</v>
      </c>
      <c r="F210" s="11">
        <f>ROUND(C12*1936,0)</f>
        <v>12429</v>
      </c>
      <c r="G210" s="4" t="s">
        <v>8</v>
      </c>
      <c r="H210" s="17" t="s">
        <v>26</v>
      </c>
    </row>
    <row r="211" spans="2:8" s="1" customFormat="1" ht="13.5" customHeight="1" x14ac:dyDescent="0.15">
      <c r="B211" s="33"/>
      <c r="C211" s="5" t="s">
        <v>4</v>
      </c>
      <c r="D211" s="9">
        <f>ROUND(C12*720,0)</f>
        <v>4622</v>
      </c>
      <c r="E211" s="6" t="s">
        <v>5</v>
      </c>
      <c r="F211" s="11">
        <f>ROUND(C12*1584,0)</f>
        <v>10169</v>
      </c>
      <c r="G211" s="35">
        <v>100</v>
      </c>
      <c r="H211" s="17"/>
    </row>
    <row r="212" spans="2:8" s="1" customFormat="1" ht="13.5" customHeight="1" x14ac:dyDescent="0.15">
      <c r="B212" s="33"/>
      <c r="C212" s="7" t="s">
        <v>6</v>
      </c>
      <c r="D212" s="10">
        <v>3</v>
      </c>
      <c r="E212" s="8" t="s">
        <v>7</v>
      </c>
      <c r="F212" s="12">
        <f>ROUND(C12*370,0)</f>
        <v>2375</v>
      </c>
      <c r="G212" s="36"/>
      <c r="H212" s="17"/>
    </row>
    <row r="213" spans="2:8" s="1" customFormat="1" ht="14.25" thickBot="1" x14ac:dyDescent="0.2">
      <c r="B213" s="34"/>
      <c r="C213" s="18" t="s">
        <v>16</v>
      </c>
      <c r="D213" s="19" t="s">
        <v>393</v>
      </c>
      <c r="E213" s="20" t="s">
        <v>17</v>
      </c>
      <c r="F213" s="21" t="s">
        <v>54</v>
      </c>
      <c r="G213" s="22" t="s">
        <v>20</v>
      </c>
      <c r="H213" s="23" t="s">
        <v>37</v>
      </c>
    </row>
    <row r="214" spans="2:8" s="1" customFormat="1" x14ac:dyDescent="0.15">
      <c r="B214" s="13" t="s">
        <v>1</v>
      </c>
      <c r="C214" s="14" t="s">
        <v>0</v>
      </c>
      <c r="D214" s="29" t="s">
        <v>150</v>
      </c>
      <c r="E214" s="30"/>
      <c r="F214" s="31"/>
      <c r="G214" s="15" t="s">
        <v>57</v>
      </c>
      <c r="H214" s="16" t="s">
        <v>151</v>
      </c>
    </row>
    <row r="215" spans="2:8" s="1" customFormat="1" x14ac:dyDescent="0.15">
      <c r="B215" s="32">
        <v>100041</v>
      </c>
      <c r="C215" s="2" t="s">
        <v>2</v>
      </c>
      <c r="D215" s="9">
        <f>ROUND(C12*880,0)</f>
        <v>5650</v>
      </c>
      <c r="E215" s="3" t="s">
        <v>3</v>
      </c>
      <c r="F215" s="11">
        <f>ROUND(C12*880,0)</f>
        <v>5650</v>
      </c>
      <c r="G215" s="4" t="s">
        <v>8</v>
      </c>
      <c r="H215" s="17" t="s">
        <v>152</v>
      </c>
    </row>
    <row r="216" spans="2:8" s="1" customFormat="1" ht="13.5" customHeight="1" x14ac:dyDescent="0.15">
      <c r="B216" s="33"/>
      <c r="C216" s="5" t="s">
        <v>4</v>
      </c>
      <c r="D216" s="9">
        <f>ROUND(C12*720,0)</f>
        <v>4622</v>
      </c>
      <c r="E216" s="6" t="s">
        <v>5</v>
      </c>
      <c r="F216" s="11">
        <f>ROUND(C12*720,0)</f>
        <v>4622</v>
      </c>
      <c r="G216" s="35">
        <v>50</v>
      </c>
      <c r="H216" s="17"/>
    </row>
    <row r="217" spans="2:8" s="1" customFormat="1" ht="13.5" customHeight="1" x14ac:dyDescent="0.15">
      <c r="B217" s="33"/>
      <c r="C217" s="7" t="s">
        <v>6</v>
      </c>
      <c r="D217" s="10">
        <v>5</v>
      </c>
      <c r="E217" s="8" t="s">
        <v>7</v>
      </c>
      <c r="F217" s="12">
        <f>ROUND(C12*370,0)</f>
        <v>2375</v>
      </c>
      <c r="G217" s="36"/>
      <c r="H217" s="17"/>
    </row>
    <row r="218" spans="2:8" s="1" customFormat="1" ht="14.25" thickBot="1" x14ac:dyDescent="0.2">
      <c r="B218" s="34"/>
      <c r="C218" s="18" t="s">
        <v>16</v>
      </c>
      <c r="D218" s="19" t="s">
        <v>380</v>
      </c>
      <c r="E218" s="20" t="s">
        <v>17</v>
      </c>
      <c r="F218" s="21" t="s">
        <v>93</v>
      </c>
      <c r="G218" s="22" t="s">
        <v>20</v>
      </c>
      <c r="H218" s="23" t="s">
        <v>153</v>
      </c>
    </row>
    <row r="219" spans="2:8" s="1" customFormat="1" x14ac:dyDescent="0.15">
      <c r="B219" s="13" t="s">
        <v>1</v>
      </c>
      <c r="C219" s="14" t="s">
        <v>0</v>
      </c>
      <c r="D219" s="29" t="s">
        <v>154</v>
      </c>
      <c r="E219" s="30"/>
      <c r="F219" s="31"/>
      <c r="G219" s="15" t="s">
        <v>57</v>
      </c>
      <c r="H219" s="16" t="s">
        <v>50</v>
      </c>
    </row>
    <row r="220" spans="2:8" s="1" customFormat="1" x14ac:dyDescent="0.15">
      <c r="B220" s="32">
        <v>100042</v>
      </c>
      <c r="C220" s="2" t="s">
        <v>2</v>
      </c>
      <c r="D220" s="9">
        <f>ROUND(C12*720,0)</f>
        <v>4622</v>
      </c>
      <c r="E220" s="3" t="s">
        <v>3</v>
      </c>
      <c r="F220" s="11">
        <f>ROUND(C12*720,0)</f>
        <v>4622</v>
      </c>
      <c r="G220" s="4" t="s">
        <v>8</v>
      </c>
      <c r="H220" s="17" t="s">
        <v>29</v>
      </c>
    </row>
    <row r="221" spans="2:8" s="1" customFormat="1" ht="13.5" customHeight="1" x14ac:dyDescent="0.15">
      <c r="B221" s="33"/>
      <c r="C221" s="5" t="s">
        <v>4</v>
      </c>
      <c r="D221" s="9">
        <f>ROUND(C12*880,0)</f>
        <v>5650</v>
      </c>
      <c r="E221" s="6" t="s">
        <v>5</v>
      </c>
      <c r="F221" s="11">
        <f>ROUND(C12*880,0)</f>
        <v>5650</v>
      </c>
      <c r="G221" s="35">
        <v>100</v>
      </c>
      <c r="H221" s="17"/>
    </row>
    <row r="222" spans="2:8" s="1" customFormat="1" ht="13.5" customHeight="1" x14ac:dyDescent="0.15">
      <c r="B222" s="33"/>
      <c r="C222" s="7" t="s">
        <v>6</v>
      </c>
      <c r="D222" s="10">
        <v>5</v>
      </c>
      <c r="E222" s="8" t="s">
        <v>7</v>
      </c>
      <c r="F222" s="12">
        <f>ROUND(C12*530,0)</f>
        <v>3403</v>
      </c>
      <c r="G222" s="36"/>
      <c r="H222" s="17"/>
    </row>
    <row r="223" spans="2:8" s="1" customFormat="1" ht="14.25" thickBot="1" x14ac:dyDescent="0.2">
      <c r="B223" s="34"/>
      <c r="C223" s="18" t="s">
        <v>16</v>
      </c>
      <c r="D223" s="19" t="s">
        <v>39</v>
      </c>
      <c r="E223" s="20" t="s">
        <v>17</v>
      </c>
      <c r="F223" s="21" t="s">
        <v>405</v>
      </c>
      <c r="G223" s="22" t="s">
        <v>20</v>
      </c>
      <c r="H223" s="23" t="s">
        <v>37</v>
      </c>
    </row>
    <row r="224" spans="2:8" s="1" customFormat="1" x14ac:dyDescent="0.15">
      <c r="B224" s="13" t="s">
        <v>1</v>
      </c>
      <c r="C224" s="14" t="s">
        <v>0</v>
      </c>
      <c r="D224" s="29" t="s">
        <v>155</v>
      </c>
      <c r="E224" s="30"/>
      <c r="F224" s="31"/>
      <c r="G224" s="15" t="s">
        <v>57</v>
      </c>
      <c r="H224" s="16" t="s">
        <v>84</v>
      </c>
    </row>
    <row r="225" spans="2:8" s="1" customFormat="1" x14ac:dyDescent="0.15">
      <c r="B225" s="32">
        <v>100043</v>
      </c>
      <c r="C225" s="2" t="s">
        <v>2</v>
      </c>
      <c r="D225" s="9">
        <f>ROUND(C12*815,0)</f>
        <v>5232</v>
      </c>
      <c r="E225" s="3" t="s">
        <v>3</v>
      </c>
      <c r="F225" s="11">
        <f>ROUND(C12*830,0)</f>
        <v>5329</v>
      </c>
      <c r="G225" s="4" t="s">
        <v>8</v>
      </c>
      <c r="H225" s="17" t="s">
        <v>398</v>
      </c>
    </row>
    <row r="226" spans="2:8" s="1" customFormat="1" ht="13.5" customHeight="1" x14ac:dyDescent="0.15">
      <c r="B226" s="33"/>
      <c r="C226" s="5" t="s">
        <v>4</v>
      </c>
      <c r="D226" s="9">
        <f>ROUND(C12*815,0)</f>
        <v>5232</v>
      </c>
      <c r="E226" s="6" t="s">
        <v>5</v>
      </c>
      <c r="F226" s="11">
        <f>ROUND(C12*830,0)</f>
        <v>5329</v>
      </c>
      <c r="G226" s="35">
        <v>50</v>
      </c>
      <c r="H226" s="17"/>
    </row>
    <row r="227" spans="2:8" s="1" customFormat="1" ht="13.5" customHeight="1" x14ac:dyDescent="0.15">
      <c r="B227" s="33"/>
      <c r="C227" s="7" t="s">
        <v>6</v>
      </c>
      <c r="D227" s="10">
        <v>5</v>
      </c>
      <c r="E227" s="8" t="s">
        <v>7</v>
      </c>
      <c r="F227" s="12">
        <f>ROUND(C12*480,0)</f>
        <v>3082</v>
      </c>
      <c r="G227" s="36"/>
      <c r="H227" s="17"/>
    </row>
    <row r="228" spans="2:8" s="1" customFormat="1" ht="14.25" thickBot="1" x14ac:dyDescent="0.2">
      <c r="B228" s="34"/>
      <c r="C228" s="18" t="s">
        <v>16</v>
      </c>
      <c r="D228" s="19" t="s">
        <v>389</v>
      </c>
      <c r="E228" s="20" t="s">
        <v>17</v>
      </c>
      <c r="F228" s="21" t="s">
        <v>33</v>
      </c>
      <c r="G228" s="22" t="s">
        <v>20</v>
      </c>
      <c r="H228" s="23" t="s">
        <v>156</v>
      </c>
    </row>
    <row r="229" spans="2:8" s="1" customFormat="1" x14ac:dyDescent="0.15">
      <c r="B229" s="13" t="s">
        <v>1</v>
      </c>
      <c r="C229" s="14" t="s">
        <v>0</v>
      </c>
      <c r="D229" s="29" t="s">
        <v>157</v>
      </c>
      <c r="E229" s="30"/>
      <c r="F229" s="31"/>
      <c r="G229" s="15" t="s">
        <v>57</v>
      </c>
      <c r="H229" s="16" t="s">
        <v>55</v>
      </c>
    </row>
    <row r="230" spans="2:8" s="1" customFormat="1" x14ac:dyDescent="0.15">
      <c r="B230" s="32">
        <v>100044</v>
      </c>
      <c r="C230" s="2" t="s">
        <v>2</v>
      </c>
      <c r="D230" s="9">
        <f>ROUND(C12*720,0)</f>
        <v>4622</v>
      </c>
      <c r="E230" s="3" t="s">
        <v>3</v>
      </c>
      <c r="F230" s="11">
        <f>ROUND(C12*1584,0)</f>
        <v>10169</v>
      </c>
      <c r="G230" s="4" t="s">
        <v>8</v>
      </c>
      <c r="H230" s="17" t="s">
        <v>30</v>
      </c>
    </row>
    <row r="231" spans="2:8" s="1" customFormat="1" ht="13.5" customHeight="1" x14ac:dyDescent="0.15">
      <c r="B231" s="33"/>
      <c r="C231" s="5" t="s">
        <v>4</v>
      </c>
      <c r="D231" s="9">
        <f>ROUND(C12*880,0)</f>
        <v>5650</v>
      </c>
      <c r="E231" s="6" t="s">
        <v>5</v>
      </c>
      <c r="F231" s="11">
        <f>ROUND(C12*1936,0)</f>
        <v>12429</v>
      </c>
      <c r="G231" s="35">
        <v>100</v>
      </c>
      <c r="H231" s="17"/>
    </row>
    <row r="232" spans="2:8" s="1" customFormat="1" ht="13.5" customHeight="1" x14ac:dyDescent="0.15">
      <c r="B232" s="33"/>
      <c r="C232" s="7" t="s">
        <v>6</v>
      </c>
      <c r="D232" s="10">
        <v>3</v>
      </c>
      <c r="E232" s="8" t="s">
        <v>7</v>
      </c>
      <c r="F232" s="12">
        <f>ROUND(C12*530,0)</f>
        <v>3403</v>
      </c>
      <c r="G232" s="36"/>
      <c r="H232" s="17"/>
    </row>
    <row r="233" spans="2:8" s="1" customFormat="1" ht="14.25" thickBot="1" x14ac:dyDescent="0.2">
      <c r="B233" s="34"/>
      <c r="C233" s="18" t="s">
        <v>16</v>
      </c>
      <c r="D233" s="19" t="s">
        <v>390</v>
      </c>
      <c r="E233" s="20" t="s">
        <v>17</v>
      </c>
      <c r="F233" s="21" t="s">
        <v>54</v>
      </c>
      <c r="G233" s="22" t="s">
        <v>20</v>
      </c>
      <c r="H233" s="23" t="s">
        <v>37</v>
      </c>
    </row>
    <row r="234" spans="2:8" s="1" customFormat="1" x14ac:dyDescent="0.15">
      <c r="B234" s="13" t="s">
        <v>1</v>
      </c>
      <c r="C234" s="14" t="s">
        <v>0</v>
      </c>
      <c r="D234" s="29" t="s">
        <v>158</v>
      </c>
      <c r="E234" s="30"/>
      <c r="F234" s="31"/>
      <c r="G234" s="15" t="s">
        <v>57</v>
      </c>
      <c r="H234" s="16" t="s">
        <v>159</v>
      </c>
    </row>
    <row r="235" spans="2:8" s="1" customFormat="1" x14ac:dyDescent="0.15">
      <c r="B235" s="32">
        <v>100045</v>
      </c>
      <c r="C235" s="2" t="s">
        <v>2</v>
      </c>
      <c r="D235" s="9">
        <f>ROUND(C12*720,0)</f>
        <v>4622</v>
      </c>
      <c r="E235" s="3" t="s">
        <v>3</v>
      </c>
      <c r="F235" s="11">
        <f>ROUND(C12*720,0)</f>
        <v>4622</v>
      </c>
      <c r="G235" s="4" t="s">
        <v>8</v>
      </c>
      <c r="H235" s="17" t="s">
        <v>160</v>
      </c>
    </row>
    <row r="236" spans="2:8" s="1" customFormat="1" ht="13.5" customHeight="1" x14ac:dyDescent="0.15">
      <c r="B236" s="33"/>
      <c r="C236" s="5" t="s">
        <v>4</v>
      </c>
      <c r="D236" s="9">
        <f>ROUND(C12*880,0)</f>
        <v>5650</v>
      </c>
      <c r="E236" s="6" t="s">
        <v>5</v>
      </c>
      <c r="F236" s="11">
        <f>ROUND(C12*880,0)</f>
        <v>5650</v>
      </c>
      <c r="G236" s="35">
        <v>50</v>
      </c>
      <c r="H236" s="17"/>
    </row>
    <row r="237" spans="2:8" s="1" customFormat="1" ht="13.5" customHeight="1" x14ac:dyDescent="0.15">
      <c r="B237" s="33"/>
      <c r="C237" s="7" t="s">
        <v>6</v>
      </c>
      <c r="D237" s="10">
        <v>5</v>
      </c>
      <c r="E237" s="8" t="s">
        <v>7</v>
      </c>
      <c r="F237" s="12">
        <f>ROUND(C12*530,0)</f>
        <v>3403</v>
      </c>
      <c r="G237" s="36"/>
      <c r="H237" s="17"/>
    </row>
    <row r="238" spans="2:8" s="1" customFormat="1" ht="14.25" thickBot="1" x14ac:dyDescent="0.2">
      <c r="B238" s="34"/>
      <c r="C238" s="18" t="s">
        <v>16</v>
      </c>
      <c r="D238" s="19" t="s">
        <v>408</v>
      </c>
      <c r="E238" s="20" t="s">
        <v>17</v>
      </c>
      <c r="F238" s="21" t="s">
        <v>36</v>
      </c>
      <c r="G238" s="22" t="s">
        <v>20</v>
      </c>
      <c r="H238" s="23" t="s">
        <v>37</v>
      </c>
    </row>
    <row r="239" spans="2:8" s="1" customFormat="1" x14ac:dyDescent="0.15">
      <c r="B239" s="13" t="s">
        <v>1</v>
      </c>
      <c r="C239" s="14" t="s">
        <v>0</v>
      </c>
      <c r="D239" s="29" t="s">
        <v>161</v>
      </c>
      <c r="E239" s="30"/>
      <c r="F239" s="31"/>
      <c r="G239" s="15" t="s">
        <v>57</v>
      </c>
      <c r="H239" s="16" t="s">
        <v>46</v>
      </c>
    </row>
    <row r="240" spans="2:8" s="1" customFormat="1" x14ac:dyDescent="0.15">
      <c r="B240" s="32">
        <v>100046</v>
      </c>
      <c r="C240" s="2" t="s">
        <v>2</v>
      </c>
      <c r="D240" s="9">
        <f>ROUND(C12*720,0)</f>
        <v>4622</v>
      </c>
      <c r="E240" s="3" t="s">
        <v>3</v>
      </c>
      <c r="F240" s="11">
        <f>ROUND(C12*720,0)</f>
        <v>4622</v>
      </c>
      <c r="G240" s="4" t="s">
        <v>8</v>
      </c>
      <c r="H240" s="17" t="s">
        <v>27</v>
      </c>
    </row>
    <row r="241" spans="2:8" s="1" customFormat="1" ht="13.5" customHeight="1" x14ac:dyDescent="0.15">
      <c r="B241" s="33"/>
      <c r="C241" s="5" t="s">
        <v>4</v>
      </c>
      <c r="D241" s="9">
        <f>ROUND(C12*880,0)</f>
        <v>5650</v>
      </c>
      <c r="E241" s="6" t="s">
        <v>5</v>
      </c>
      <c r="F241" s="11">
        <f>ROUND(C12*880,0)</f>
        <v>5650</v>
      </c>
      <c r="G241" s="35">
        <v>100</v>
      </c>
      <c r="H241" s="17"/>
    </row>
    <row r="242" spans="2:8" s="1" customFormat="1" ht="13.5" customHeight="1" x14ac:dyDescent="0.15">
      <c r="B242" s="33"/>
      <c r="C242" s="7" t="s">
        <v>6</v>
      </c>
      <c r="D242" s="10">
        <v>5</v>
      </c>
      <c r="E242" s="8" t="s">
        <v>7</v>
      </c>
      <c r="F242" s="12">
        <f>ROUND(C12*530,0)</f>
        <v>3403</v>
      </c>
      <c r="G242" s="36"/>
      <c r="H242" s="17"/>
    </row>
    <row r="243" spans="2:8" s="1" customFormat="1" ht="14.25" thickBot="1" x14ac:dyDescent="0.2">
      <c r="B243" s="34"/>
      <c r="C243" s="18" t="s">
        <v>16</v>
      </c>
      <c r="D243" s="19" t="s">
        <v>409</v>
      </c>
      <c r="E243" s="20" t="s">
        <v>17</v>
      </c>
      <c r="F243" s="21" t="s">
        <v>71</v>
      </c>
      <c r="G243" s="22" t="s">
        <v>20</v>
      </c>
      <c r="H243" s="23" t="s">
        <v>37</v>
      </c>
    </row>
    <row r="244" spans="2:8" s="1" customFormat="1" x14ac:dyDescent="0.15">
      <c r="B244" s="13" t="s">
        <v>1</v>
      </c>
      <c r="C244" s="14" t="s">
        <v>0</v>
      </c>
      <c r="D244" s="29" t="s">
        <v>162</v>
      </c>
      <c r="E244" s="30"/>
      <c r="F244" s="31"/>
      <c r="G244" s="15" t="s">
        <v>57</v>
      </c>
      <c r="H244" s="16" t="s">
        <v>163</v>
      </c>
    </row>
    <row r="245" spans="2:8" s="1" customFormat="1" x14ac:dyDescent="0.15">
      <c r="B245" s="32">
        <v>100047</v>
      </c>
      <c r="C245" s="2" t="s">
        <v>2</v>
      </c>
      <c r="D245" s="9">
        <f>ROUND(C12*880,0)</f>
        <v>5650</v>
      </c>
      <c r="E245" s="3" t="s">
        <v>3</v>
      </c>
      <c r="F245" s="11">
        <f>ROUND(C12*880,0)</f>
        <v>5650</v>
      </c>
      <c r="G245" s="4" t="s">
        <v>8</v>
      </c>
      <c r="H245" s="17" t="s">
        <v>164</v>
      </c>
    </row>
    <row r="246" spans="2:8" s="1" customFormat="1" ht="13.5" customHeight="1" x14ac:dyDescent="0.15">
      <c r="B246" s="33"/>
      <c r="C246" s="5" t="s">
        <v>4</v>
      </c>
      <c r="D246" s="9">
        <f>ROUND(C12*720,0)</f>
        <v>4622</v>
      </c>
      <c r="E246" s="6" t="s">
        <v>5</v>
      </c>
      <c r="F246" s="11">
        <f>ROUND(C12*720,0)</f>
        <v>4622</v>
      </c>
      <c r="G246" s="35">
        <v>50</v>
      </c>
      <c r="H246" s="17"/>
    </row>
    <row r="247" spans="2:8" s="1" customFormat="1" ht="13.5" customHeight="1" x14ac:dyDescent="0.15">
      <c r="B247" s="33"/>
      <c r="C247" s="7" t="s">
        <v>6</v>
      </c>
      <c r="D247" s="10">
        <v>5</v>
      </c>
      <c r="E247" s="8" t="s">
        <v>7</v>
      </c>
      <c r="F247" s="12">
        <f>ROUND(C12*370,0)</f>
        <v>2375</v>
      </c>
      <c r="G247" s="36"/>
      <c r="H247" s="17"/>
    </row>
    <row r="248" spans="2:8" s="1" customFormat="1" ht="14.25" thickBot="1" x14ac:dyDescent="0.2">
      <c r="B248" s="34"/>
      <c r="C248" s="18" t="s">
        <v>16</v>
      </c>
      <c r="D248" s="19" t="s">
        <v>39</v>
      </c>
      <c r="E248" s="20" t="s">
        <v>17</v>
      </c>
      <c r="F248" s="21" t="s">
        <v>71</v>
      </c>
      <c r="G248" s="22" t="s">
        <v>20</v>
      </c>
      <c r="H248" s="23" t="s">
        <v>37</v>
      </c>
    </row>
    <row r="249" spans="2:8" s="1" customFormat="1" x14ac:dyDescent="0.15">
      <c r="B249" s="13" t="s">
        <v>1</v>
      </c>
      <c r="C249" s="14" t="s">
        <v>0</v>
      </c>
      <c r="D249" s="29" t="s">
        <v>165</v>
      </c>
      <c r="E249" s="30"/>
      <c r="F249" s="31"/>
      <c r="G249" s="15" t="s">
        <v>57</v>
      </c>
      <c r="H249" s="16" t="s">
        <v>74</v>
      </c>
    </row>
    <row r="250" spans="2:8" s="1" customFormat="1" x14ac:dyDescent="0.15">
      <c r="B250" s="32">
        <v>100048</v>
      </c>
      <c r="C250" s="2" t="s">
        <v>2</v>
      </c>
      <c r="D250" s="9">
        <f>ROUND(C12*815,0)</f>
        <v>5232</v>
      </c>
      <c r="E250" s="3" t="s">
        <v>3</v>
      </c>
      <c r="F250" s="11">
        <f>ROUND(C12*1826,0)</f>
        <v>11723</v>
      </c>
      <c r="G250" s="4" t="s">
        <v>8</v>
      </c>
      <c r="H250" s="17" t="s">
        <v>75</v>
      </c>
    </row>
    <row r="251" spans="2:8" s="1" customFormat="1" ht="13.5" customHeight="1" x14ac:dyDescent="0.15">
      <c r="B251" s="33"/>
      <c r="C251" s="5" t="s">
        <v>4</v>
      </c>
      <c r="D251" s="9">
        <f>ROUND(C12*815,0)</f>
        <v>5232</v>
      </c>
      <c r="E251" s="6" t="s">
        <v>5</v>
      </c>
      <c r="F251" s="11">
        <f>ROUND(C12*1826,0)</f>
        <v>11723</v>
      </c>
      <c r="G251" s="35">
        <v>100</v>
      </c>
      <c r="H251" s="17"/>
    </row>
    <row r="252" spans="2:8" s="1" customFormat="1" ht="13.5" customHeight="1" x14ac:dyDescent="0.15">
      <c r="B252" s="33"/>
      <c r="C252" s="7" t="s">
        <v>6</v>
      </c>
      <c r="D252" s="10">
        <v>3</v>
      </c>
      <c r="E252" s="8" t="s">
        <v>7</v>
      </c>
      <c r="F252" s="12">
        <f>ROUND(C12*480,0)</f>
        <v>3082</v>
      </c>
      <c r="G252" s="36"/>
      <c r="H252" s="17"/>
    </row>
    <row r="253" spans="2:8" s="1" customFormat="1" ht="14.25" thickBot="1" x14ac:dyDescent="0.2">
      <c r="B253" s="34"/>
      <c r="C253" s="18" t="s">
        <v>16</v>
      </c>
      <c r="D253" s="19" t="s">
        <v>42</v>
      </c>
      <c r="E253" s="20" t="s">
        <v>17</v>
      </c>
      <c r="F253" s="21" t="s">
        <v>113</v>
      </c>
      <c r="G253" s="22" t="s">
        <v>20</v>
      </c>
      <c r="H253" s="23" t="s">
        <v>37</v>
      </c>
    </row>
    <row r="254" spans="2:8" s="1" customFormat="1" x14ac:dyDescent="0.15">
      <c r="B254" s="13" t="s">
        <v>1</v>
      </c>
      <c r="C254" s="14" t="s">
        <v>0</v>
      </c>
      <c r="D254" s="29" t="s">
        <v>166</v>
      </c>
      <c r="E254" s="30"/>
      <c r="F254" s="31"/>
      <c r="G254" s="15" t="s">
        <v>57</v>
      </c>
      <c r="H254" s="16" t="s">
        <v>167</v>
      </c>
    </row>
    <row r="255" spans="2:8" s="1" customFormat="1" x14ac:dyDescent="0.15">
      <c r="B255" s="32">
        <v>100049</v>
      </c>
      <c r="C255" s="2" t="s">
        <v>2</v>
      </c>
      <c r="D255" s="9">
        <f>ROUND(C12*720,0)</f>
        <v>4622</v>
      </c>
      <c r="E255" s="3" t="s">
        <v>3</v>
      </c>
      <c r="F255" s="11">
        <f>ROUND(C12*720,0)</f>
        <v>4622</v>
      </c>
      <c r="G255" s="4" t="s">
        <v>8</v>
      </c>
      <c r="H255" s="17" t="s">
        <v>168</v>
      </c>
    </row>
    <row r="256" spans="2:8" s="1" customFormat="1" ht="13.5" customHeight="1" x14ac:dyDescent="0.15">
      <c r="B256" s="33"/>
      <c r="C256" s="5" t="s">
        <v>4</v>
      </c>
      <c r="D256" s="9">
        <f>ROUND(C12*880,0)</f>
        <v>5650</v>
      </c>
      <c r="E256" s="6" t="s">
        <v>5</v>
      </c>
      <c r="F256" s="11">
        <f>ROUND(C12*880,0)</f>
        <v>5650</v>
      </c>
      <c r="G256" s="35">
        <v>50</v>
      </c>
      <c r="H256" s="17"/>
    </row>
    <row r="257" spans="2:8" s="1" customFormat="1" ht="13.5" customHeight="1" x14ac:dyDescent="0.15">
      <c r="B257" s="33"/>
      <c r="C257" s="7" t="s">
        <v>6</v>
      </c>
      <c r="D257" s="10">
        <v>5</v>
      </c>
      <c r="E257" s="8" t="s">
        <v>7</v>
      </c>
      <c r="F257" s="12">
        <f>ROUND(C12*530,0)</f>
        <v>3403</v>
      </c>
      <c r="G257" s="36"/>
      <c r="H257" s="17"/>
    </row>
    <row r="258" spans="2:8" s="1" customFormat="1" ht="14.25" thickBot="1" x14ac:dyDescent="0.2">
      <c r="B258" s="34"/>
      <c r="C258" s="18" t="s">
        <v>16</v>
      </c>
      <c r="D258" s="19" t="s">
        <v>372</v>
      </c>
      <c r="E258" s="20" t="s">
        <v>17</v>
      </c>
      <c r="F258" s="21" t="s">
        <v>32</v>
      </c>
      <c r="G258" s="22" t="s">
        <v>20</v>
      </c>
      <c r="H258" s="23" t="s">
        <v>114</v>
      </c>
    </row>
    <row r="259" spans="2:8" s="1" customFormat="1" x14ac:dyDescent="0.15">
      <c r="B259" s="13" t="s">
        <v>1</v>
      </c>
      <c r="C259" s="14" t="s">
        <v>0</v>
      </c>
      <c r="D259" s="29" t="s">
        <v>169</v>
      </c>
      <c r="E259" s="30"/>
      <c r="F259" s="31"/>
      <c r="G259" s="15" t="s">
        <v>57</v>
      </c>
      <c r="H259" s="16" t="s">
        <v>80</v>
      </c>
    </row>
    <row r="260" spans="2:8" s="1" customFormat="1" x14ac:dyDescent="0.15">
      <c r="B260" s="32">
        <v>100050</v>
      </c>
      <c r="C260" s="2" t="s">
        <v>2</v>
      </c>
      <c r="D260" s="9">
        <f>ROUND(C12*720,0)</f>
        <v>4622</v>
      </c>
      <c r="E260" s="3" t="s">
        <v>3</v>
      </c>
      <c r="F260" s="11">
        <f>ROUND(C12*720,0)</f>
        <v>4622</v>
      </c>
      <c r="G260" s="4" t="s">
        <v>8</v>
      </c>
      <c r="H260" s="17" t="s">
        <v>81</v>
      </c>
    </row>
    <row r="261" spans="2:8" s="1" customFormat="1" ht="13.5" customHeight="1" x14ac:dyDescent="0.15">
      <c r="B261" s="33"/>
      <c r="C261" s="5" t="s">
        <v>4</v>
      </c>
      <c r="D261" s="9">
        <f>ROUND(C12*880,0)</f>
        <v>5650</v>
      </c>
      <c r="E261" s="6" t="s">
        <v>5</v>
      </c>
      <c r="F261" s="11">
        <f>ROUND(C12*880,0)</f>
        <v>5650</v>
      </c>
      <c r="G261" s="35">
        <v>100</v>
      </c>
      <c r="H261" s="17"/>
    </row>
    <row r="262" spans="2:8" s="1" customFormat="1" ht="13.5" customHeight="1" x14ac:dyDescent="0.15">
      <c r="B262" s="33"/>
      <c r="C262" s="7" t="s">
        <v>6</v>
      </c>
      <c r="D262" s="10">
        <v>5</v>
      </c>
      <c r="E262" s="8" t="s">
        <v>7</v>
      </c>
      <c r="F262" s="12">
        <f>ROUND(C12*530,0)</f>
        <v>3403</v>
      </c>
      <c r="G262" s="36"/>
      <c r="H262" s="17"/>
    </row>
    <row r="263" spans="2:8" s="1" customFormat="1" ht="14.25" thickBot="1" x14ac:dyDescent="0.2">
      <c r="B263" s="34"/>
      <c r="C263" s="18" t="s">
        <v>16</v>
      </c>
      <c r="D263" s="19" t="s">
        <v>410</v>
      </c>
      <c r="E263" s="20" t="s">
        <v>17</v>
      </c>
      <c r="F263" s="21" t="s">
        <v>218</v>
      </c>
      <c r="G263" s="22" t="s">
        <v>20</v>
      </c>
      <c r="H263" s="23" t="s">
        <v>37</v>
      </c>
    </row>
    <row r="264" spans="2:8" s="1" customFormat="1" x14ac:dyDescent="0.15">
      <c r="B264" s="13" t="s">
        <v>1</v>
      </c>
      <c r="C264" s="14" t="s">
        <v>0</v>
      </c>
      <c r="D264" s="29" t="s">
        <v>170</v>
      </c>
      <c r="E264" s="30"/>
      <c r="F264" s="31"/>
      <c r="G264" s="15" t="s">
        <v>57</v>
      </c>
      <c r="H264" s="16" t="s">
        <v>35</v>
      </c>
    </row>
    <row r="265" spans="2:8" s="1" customFormat="1" x14ac:dyDescent="0.15">
      <c r="B265" s="32">
        <v>100051</v>
      </c>
      <c r="C265" s="2" t="s">
        <v>2</v>
      </c>
      <c r="D265" s="9">
        <f>ROUND(C12*880,0)</f>
        <v>5650</v>
      </c>
      <c r="E265" s="3" t="s">
        <v>3</v>
      </c>
      <c r="F265" s="11">
        <f>ROUND(C12*1936,0)</f>
        <v>12429</v>
      </c>
      <c r="G265" s="4" t="s">
        <v>8</v>
      </c>
      <c r="H265" s="17" t="s">
        <v>23</v>
      </c>
    </row>
    <row r="266" spans="2:8" s="1" customFormat="1" ht="13.5" customHeight="1" x14ac:dyDescent="0.15">
      <c r="B266" s="33"/>
      <c r="C266" s="5" t="s">
        <v>4</v>
      </c>
      <c r="D266" s="9">
        <f>ROUND(C12*720,0)</f>
        <v>4622</v>
      </c>
      <c r="E266" s="6" t="s">
        <v>5</v>
      </c>
      <c r="F266" s="11">
        <f>ROUND(C12*1584,0)</f>
        <v>10169</v>
      </c>
      <c r="G266" s="35">
        <v>100</v>
      </c>
      <c r="H266" s="17"/>
    </row>
    <row r="267" spans="2:8" s="1" customFormat="1" ht="13.5" customHeight="1" x14ac:dyDescent="0.15">
      <c r="B267" s="33"/>
      <c r="C267" s="7" t="s">
        <v>6</v>
      </c>
      <c r="D267" s="10">
        <v>3</v>
      </c>
      <c r="E267" s="8" t="s">
        <v>7</v>
      </c>
      <c r="F267" s="12">
        <f>ROUND(C12*370,0)</f>
        <v>2375</v>
      </c>
      <c r="G267" s="36"/>
      <c r="H267" s="17"/>
    </row>
    <row r="268" spans="2:8" s="1" customFormat="1" ht="14.25" thickBot="1" x14ac:dyDescent="0.2">
      <c r="B268" s="34"/>
      <c r="C268" s="18" t="s">
        <v>16</v>
      </c>
      <c r="D268" s="19" t="s">
        <v>411</v>
      </c>
      <c r="E268" s="20" t="s">
        <v>17</v>
      </c>
      <c r="F268" s="21" t="s">
        <v>392</v>
      </c>
      <c r="G268" s="22" t="s">
        <v>20</v>
      </c>
      <c r="H268" s="23" t="s">
        <v>37</v>
      </c>
    </row>
    <row r="269" spans="2:8" s="1" customFormat="1" x14ac:dyDescent="0.15">
      <c r="B269" s="13" t="s">
        <v>1</v>
      </c>
      <c r="C269" s="14" t="s">
        <v>0</v>
      </c>
      <c r="D269" s="29" t="s">
        <v>171</v>
      </c>
      <c r="E269" s="30"/>
      <c r="F269" s="31"/>
      <c r="G269" s="15" t="s">
        <v>57</v>
      </c>
      <c r="H269" s="16" t="s">
        <v>77</v>
      </c>
    </row>
    <row r="270" spans="2:8" s="1" customFormat="1" x14ac:dyDescent="0.15">
      <c r="B270" s="32">
        <v>100052</v>
      </c>
      <c r="C270" s="2" t="s">
        <v>2</v>
      </c>
      <c r="D270" s="9">
        <f>ROUND(C12*720,0)</f>
        <v>4622</v>
      </c>
      <c r="E270" s="3" t="s">
        <v>3</v>
      </c>
      <c r="F270" s="11">
        <f>ROUND(C12*720,0)</f>
        <v>4622</v>
      </c>
      <c r="G270" s="4" t="s">
        <v>8</v>
      </c>
      <c r="H270" s="17" t="s">
        <v>78</v>
      </c>
    </row>
    <row r="271" spans="2:8" s="1" customFormat="1" ht="13.5" customHeight="1" x14ac:dyDescent="0.15">
      <c r="B271" s="33"/>
      <c r="C271" s="5" t="s">
        <v>4</v>
      </c>
      <c r="D271" s="9">
        <f>ROUND(C12*880,0)</f>
        <v>5650</v>
      </c>
      <c r="E271" s="6" t="s">
        <v>5</v>
      </c>
      <c r="F271" s="11">
        <f>ROUND(C12*880,0)</f>
        <v>5650</v>
      </c>
      <c r="G271" s="35">
        <v>100</v>
      </c>
      <c r="H271" s="17"/>
    </row>
    <row r="272" spans="2:8" s="1" customFormat="1" ht="13.5" customHeight="1" x14ac:dyDescent="0.15">
      <c r="B272" s="33"/>
      <c r="C272" s="7" t="s">
        <v>6</v>
      </c>
      <c r="D272" s="10">
        <v>5</v>
      </c>
      <c r="E272" s="8" t="s">
        <v>7</v>
      </c>
      <c r="F272" s="12">
        <f>ROUND(C12*530,0)</f>
        <v>3403</v>
      </c>
      <c r="G272" s="36"/>
      <c r="H272" s="17"/>
    </row>
    <row r="273" spans="2:8" s="1" customFormat="1" ht="14.25" thickBot="1" x14ac:dyDescent="0.2">
      <c r="B273" s="34"/>
      <c r="C273" s="18" t="s">
        <v>16</v>
      </c>
      <c r="D273" s="19" t="s">
        <v>393</v>
      </c>
      <c r="E273" s="20" t="s">
        <v>17</v>
      </c>
      <c r="F273" s="21" t="s">
        <v>54</v>
      </c>
      <c r="G273" s="22" t="s">
        <v>20</v>
      </c>
      <c r="H273" s="23" t="s">
        <v>37</v>
      </c>
    </row>
    <row r="274" spans="2:8" s="1" customFormat="1" x14ac:dyDescent="0.15">
      <c r="B274" s="13" t="s">
        <v>1</v>
      </c>
      <c r="C274" s="14" t="s">
        <v>0</v>
      </c>
      <c r="D274" s="29" t="s">
        <v>172</v>
      </c>
      <c r="E274" s="30"/>
      <c r="F274" s="31"/>
      <c r="G274" s="15" t="s">
        <v>57</v>
      </c>
      <c r="H274" s="16" t="s">
        <v>173</v>
      </c>
    </row>
    <row r="275" spans="2:8" s="1" customFormat="1" x14ac:dyDescent="0.15">
      <c r="B275" s="32">
        <v>100053</v>
      </c>
      <c r="C275" s="2" t="s">
        <v>2</v>
      </c>
      <c r="D275" s="9">
        <f>ROUND(C12*720,0)</f>
        <v>4622</v>
      </c>
      <c r="E275" s="3" t="s">
        <v>3</v>
      </c>
      <c r="F275" s="11">
        <f>ROUND(C12*720,0)</f>
        <v>4622</v>
      </c>
      <c r="G275" s="4" t="s">
        <v>8</v>
      </c>
      <c r="H275" s="17" t="s">
        <v>174</v>
      </c>
    </row>
    <row r="276" spans="2:8" s="1" customFormat="1" ht="13.5" customHeight="1" x14ac:dyDescent="0.15">
      <c r="B276" s="33"/>
      <c r="C276" s="5" t="s">
        <v>4</v>
      </c>
      <c r="D276" s="9">
        <f>ROUND(C12*880,0)</f>
        <v>5650</v>
      </c>
      <c r="E276" s="6" t="s">
        <v>5</v>
      </c>
      <c r="F276" s="11">
        <f>ROUND(C12*880,0)</f>
        <v>5650</v>
      </c>
      <c r="G276" s="35">
        <v>100</v>
      </c>
      <c r="H276" s="17"/>
    </row>
    <row r="277" spans="2:8" s="1" customFormat="1" ht="13.5" customHeight="1" x14ac:dyDescent="0.15">
      <c r="B277" s="33"/>
      <c r="C277" s="7" t="s">
        <v>6</v>
      </c>
      <c r="D277" s="10">
        <v>5</v>
      </c>
      <c r="E277" s="8" t="s">
        <v>7</v>
      </c>
      <c r="F277" s="12">
        <f>ROUND(C12*530,0)</f>
        <v>3403</v>
      </c>
      <c r="G277" s="36"/>
      <c r="H277" s="17"/>
    </row>
    <row r="278" spans="2:8" s="1" customFormat="1" ht="14.25" thickBot="1" x14ac:dyDescent="0.2">
      <c r="B278" s="34"/>
      <c r="C278" s="18" t="s">
        <v>16</v>
      </c>
      <c r="D278" s="19" t="s">
        <v>408</v>
      </c>
      <c r="E278" s="20" t="s">
        <v>17</v>
      </c>
      <c r="F278" s="21" t="s">
        <v>36</v>
      </c>
      <c r="G278" s="22" t="s">
        <v>20</v>
      </c>
      <c r="H278" s="23" t="s">
        <v>37</v>
      </c>
    </row>
    <row r="279" spans="2:8" s="1" customFormat="1" x14ac:dyDescent="0.15">
      <c r="B279" s="13" t="s">
        <v>1</v>
      </c>
      <c r="C279" s="14" t="s">
        <v>0</v>
      </c>
      <c r="D279" s="29" t="s">
        <v>175</v>
      </c>
      <c r="E279" s="30"/>
      <c r="F279" s="31"/>
      <c r="G279" s="15" t="s">
        <v>57</v>
      </c>
      <c r="H279" s="16" t="s">
        <v>91</v>
      </c>
    </row>
    <row r="280" spans="2:8" s="1" customFormat="1" x14ac:dyDescent="0.15">
      <c r="B280" s="32">
        <v>100054</v>
      </c>
      <c r="C280" s="2" t="s">
        <v>2</v>
      </c>
      <c r="D280" s="9">
        <f>ROUND(C12*720,0)</f>
        <v>4622</v>
      </c>
      <c r="E280" s="3" t="s">
        <v>3</v>
      </c>
      <c r="F280" s="11">
        <f>ROUND(C12*1584,0)</f>
        <v>10169</v>
      </c>
      <c r="G280" s="4" t="s">
        <v>8</v>
      </c>
      <c r="H280" s="17" t="s">
        <v>92</v>
      </c>
    </row>
    <row r="281" spans="2:8" s="1" customFormat="1" ht="13.5" customHeight="1" x14ac:dyDescent="0.15">
      <c r="B281" s="33"/>
      <c r="C281" s="5" t="s">
        <v>4</v>
      </c>
      <c r="D281" s="9">
        <f>ROUND(C12*880,0)</f>
        <v>5650</v>
      </c>
      <c r="E281" s="6" t="s">
        <v>5</v>
      </c>
      <c r="F281" s="11">
        <f>ROUND(C12*1936,0)</f>
        <v>12429</v>
      </c>
      <c r="G281" s="35">
        <v>100</v>
      </c>
      <c r="H281" s="17"/>
    </row>
    <row r="282" spans="2:8" s="1" customFormat="1" ht="13.5" customHeight="1" x14ac:dyDescent="0.15">
      <c r="B282" s="33"/>
      <c r="C282" s="7" t="s">
        <v>6</v>
      </c>
      <c r="D282" s="10">
        <v>3</v>
      </c>
      <c r="E282" s="8" t="s">
        <v>7</v>
      </c>
      <c r="F282" s="12">
        <f>ROUND(C12*530,0)</f>
        <v>3403</v>
      </c>
      <c r="G282" s="36"/>
      <c r="H282" s="17"/>
    </row>
    <row r="283" spans="2:8" s="1" customFormat="1" ht="14.25" thickBot="1" x14ac:dyDescent="0.2">
      <c r="B283" s="34"/>
      <c r="C283" s="18" t="s">
        <v>16</v>
      </c>
      <c r="D283" s="19" t="s">
        <v>393</v>
      </c>
      <c r="E283" s="20" t="s">
        <v>17</v>
      </c>
      <c r="F283" s="21" t="s">
        <v>397</v>
      </c>
      <c r="G283" s="22" t="s">
        <v>20</v>
      </c>
      <c r="H283" s="23" t="s">
        <v>37</v>
      </c>
    </row>
    <row r="284" spans="2:8" s="1" customFormat="1" x14ac:dyDescent="0.15">
      <c r="B284" s="13" t="s">
        <v>1</v>
      </c>
      <c r="C284" s="14" t="s">
        <v>0</v>
      </c>
      <c r="D284" s="29" t="s">
        <v>176</v>
      </c>
      <c r="E284" s="30"/>
      <c r="F284" s="31"/>
      <c r="G284" s="15" t="s">
        <v>57</v>
      </c>
      <c r="H284" s="16" t="s">
        <v>177</v>
      </c>
    </row>
    <row r="285" spans="2:8" s="1" customFormat="1" x14ac:dyDescent="0.15">
      <c r="B285" s="32">
        <v>100055</v>
      </c>
      <c r="C285" s="2" t="s">
        <v>2</v>
      </c>
      <c r="D285" s="9">
        <f>ROUND(C12*720,0)</f>
        <v>4622</v>
      </c>
      <c r="E285" s="3" t="s">
        <v>3</v>
      </c>
      <c r="F285" s="11">
        <f>ROUND(C12*720,0)</f>
        <v>4622</v>
      </c>
      <c r="G285" s="4" t="s">
        <v>8</v>
      </c>
      <c r="H285" s="17" t="s">
        <v>178</v>
      </c>
    </row>
    <row r="286" spans="2:8" s="1" customFormat="1" ht="13.5" customHeight="1" x14ac:dyDescent="0.15">
      <c r="B286" s="33"/>
      <c r="C286" s="5" t="s">
        <v>4</v>
      </c>
      <c r="D286" s="9">
        <f>ROUND(C12*880,0)</f>
        <v>5650</v>
      </c>
      <c r="E286" s="6" t="s">
        <v>5</v>
      </c>
      <c r="F286" s="11">
        <f>ROUND(C12*880,0)</f>
        <v>5650</v>
      </c>
      <c r="G286" s="35">
        <v>100</v>
      </c>
      <c r="H286" s="17"/>
    </row>
    <row r="287" spans="2:8" s="1" customFormat="1" ht="13.5" customHeight="1" x14ac:dyDescent="0.15">
      <c r="B287" s="33"/>
      <c r="C287" s="7" t="s">
        <v>6</v>
      </c>
      <c r="D287" s="10">
        <v>5</v>
      </c>
      <c r="E287" s="8" t="s">
        <v>7</v>
      </c>
      <c r="F287" s="12">
        <f>ROUND(C12*530,0)</f>
        <v>3403</v>
      </c>
      <c r="G287" s="36"/>
      <c r="H287" s="17"/>
    </row>
    <row r="288" spans="2:8" s="1" customFormat="1" ht="14.25" thickBot="1" x14ac:dyDescent="0.2">
      <c r="B288" s="34"/>
      <c r="C288" s="18" t="s">
        <v>16</v>
      </c>
      <c r="D288" s="19" t="s">
        <v>412</v>
      </c>
      <c r="E288" s="20" t="s">
        <v>17</v>
      </c>
      <c r="F288" s="21" t="s">
        <v>397</v>
      </c>
      <c r="G288" s="22" t="s">
        <v>20</v>
      </c>
      <c r="H288" s="23" t="s">
        <v>37</v>
      </c>
    </row>
    <row r="289" spans="2:8" s="1" customFormat="1" x14ac:dyDescent="0.15">
      <c r="B289" s="13" t="s">
        <v>1</v>
      </c>
      <c r="C289" s="14" t="s">
        <v>0</v>
      </c>
      <c r="D289" s="29" t="s">
        <v>179</v>
      </c>
      <c r="E289" s="30"/>
      <c r="F289" s="31"/>
      <c r="G289" s="15" t="s">
        <v>57</v>
      </c>
      <c r="H289" s="16" t="s">
        <v>41</v>
      </c>
    </row>
    <row r="290" spans="2:8" s="1" customFormat="1" x14ac:dyDescent="0.15">
      <c r="B290" s="32">
        <v>100056</v>
      </c>
      <c r="C290" s="2" t="s">
        <v>2</v>
      </c>
      <c r="D290" s="9">
        <f>ROUND(C12*815,0)</f>
        <v>5232</v>
      </c>
      <c r="E290" s="3" t="s">
        <v>3</v>
      </c>
      <c r="F290" s="11">
        <f>ROUND(C12*830,0)</f>
        <v>5329</v>
      </c>
      <c r="G290" s="4" t="s">
        <v>8</v>
      </c>
      <c r="H290" s="17" t="s">
        <v>25</v>
      </c>
    </row>
    <row r="291" spans="2:8" s="1" customFormat="1" ht="13.5" customHeight="1" x14ac:dyDescent="0.15">
      <c r="B291" s="33"/>
      <c r="C291" s="5" t="s">
        <v>4</v>
      </c>
      <c r="D291" s="9">
        <f>ROUND(C12*815,0)</f>
        <v>5232</v>
      </c>
      <c r="E291" s="6" t="s">
        <v>5</v>
      </c>
      <c r="F291" s="11">
        <f>ROUND(C12*830,0)</f>
        <v>5329</v>
      </c>
      <c r="G291" s="35">
        <v>100</v>
      </c>
      <c r="H291" s="17"/>
    </row>
    <row r="292" spans="2:8" s="1" customFormat="1" ht="13.5" customHeight="1" x14ac:dyDescent="0.15">
      <c r="B292" s="33"/>
      <c r="C292" s="7" t="s">
        <v>6</v>
      </c>
      <c r="D292" s="10">
        <v>5</v>
      </c>
      <c r="E292" s="8" t="s">
        <v>7</v>
      </c>
      <c r="F292" s="12">
        <f>ROUND(C12*480,0)</f>
        <v>3082</v>
      </c>
      <c r="G292" s="36"/>
      <c r="H292" s="17"/>
    </row>
    <row r="293" spans="2:8" s="1" customFormat="1" ht="14.25" thickBot="1" x14ac:dyDescent="0.2">
      <c r="B293" s="34"/>
      <c r="C293" s="18" t="s">
        <v>16</v>
      </c>
      <c r="D293" s="19" t="s">
        <v>43</v>
      </c>
      <c r="E293" s="20" t="s">
        <v>17</v>
      </c>
      <c r="F293" s="21" t="s">
        <v>36</v>
      </c>
      <c r="G293" s="22" t="s">
        <v>20</v>
      </c>
      <c r="H293" s="23" t="s">
        <v>37</v>
      </c>
    </row>
    <row r="294" spans="2:8" s="1" customFormat="1" x14ac:dyDescent="0.15">
      <c r="B294" s="13" t="s">
        <v>1</v>
      </c>
      <c r="C294" s="14" t="s">
        <v>0</v>
      </c>
      <c r="D294" s="29" t="s">
        <v>180</v>
      </c>
      <c r="E294" s="30"/>
      <c r="F294" s="31"/>
      <c r="G294" s="15" t="s">
        <v>57</v>
      </c>
      <c r="H294" s="16" t="s">
        <v>124</v>
      </c>
    </row>
    <row r="295" spans="2:8" s="1" customFormat="1" x14ac:dyDescent="0.15">
      <c r="B295" s="32">
        <v>100057</v>
      </c>
      <c r="C295" s="2" t="s">
        <v>2</v>
      </c>
      <c r="D295" s="9">
        <f>ROUND(C12*880,0)</f>
        <v>5650</v>
      </c>
      <c r="E295" s="3" t="s">
        <v>3</v>
      </c>
      <c r="F295" s="11">
        <f>ROUND(C12*880,0)</f>
        <v>5650</v>
      </c>
      <c r="G295" s="4" t="s">
        <v>8</v>
      </c>
      <c r="H295" s="17" t="s">
        <v>403</v>
      </c>
    </row>
    <row r="296" spans="2:8" s="1" customFormat="1" ht="13.5" customHeight="1" x14ac:dyDescent="0.15">
      <c r="B296" s="33"/>
      <c r="C296" s="5" t="s">
        <v>4</v>
      </c>
      <c r="D296" s="9">
        <f>ROUND(C12*720,0)</f>
        <v>4622</v>
      </c>
      <c r="E296" s="6" t="s">
        <v>5</v>
      </c>
      <c r="F296" s="11">
        <f>ROUND(C12*720,0)</f>
        <v>4622</v>
      </c>
      <c r="G296" s="35">
        <v>30</v>
      </c>
      <c r="H296" s="17"/>
    </row>
    <row r="297" spans="2:8" s="1" customFormat="1" ht="13.5" customHeight="1" x14ac:dyDescent="0.15">
      <c r="B297" s="33"/>
      <c r="C297" s="7" t="s">
        <v>6</v>
      </c>
      <c r="D297" s="10">
        <v>5</v>
      </c>
      <c r="E297" s="8" t="s">
        <v>7</v>
      </c>
      <c r="F297" s="12">
        <f>ROUND(C12*370,0)</f>
        <v>2375</v>
      </c>
      <c r="G297" s="36"/>
      <c r="H297" s="17"/>
    </row>
    <row r="298" spans="2:8" s="1" customFormat="1" ht="14.25" thickBot="1" x14ac:dyDescent="0.2">
      <c r="B298" s="34"/>
      <c r="C298" s="18" t="s">
        <v>16</v>
      </c>
      <c r="D298" s="19" t="s">
        <v>377</v>
      </c>
      <c r="E298" s="20" t="s">
        <v>17</v>
      </c>
      <c r="F298" s="21" t="s">
        <v>56</v>
      </c>
      <c r="G298" s="22" t="s">
        <v>20</v>
      </c>
      <c r="H298" s="23" t="s">
        <v>37</v>
      </c>
    </row>
    <row r="299" spans="2:8" s="1" customFormat="1" x14ac:dyDescent="0.15">
      <c r="B299" s="13" t="s">
        <v>1</v>
      </c>
      <c r="C299" s="14" t="s">
        <v>0</v>
      </c>
      <c r="D299" s="29" t="s">
        <v>181</v>
      </c>
      <c r="E299" s="30"/>
      <c r="F299" s="31"/>
      <c r="G299" s="15" t="s">
        <v>57</v>
      </c>
      <c r="H299" s="16" t="s">
        <v>50</v>
      </c>
    </row>
    <row r="300" spans="2:8" s="1" customFormat="1" x14ac:dyDescent="0.15">
      <c r="B300" s="32">
        <v>100058</v>
      </c>
      <c r="C300" s="2" t="s">
        <v>2</v>
      </c>
      <c r="D300" s="9">
        <f>ROUND(C12*815,0)</f>
        <v>5232</v>
      </c>
      <c r="E300" s="3" t="s">
        <v>3</v>
      </c>
      <c r="F300" s="11">
        <f>ROUND(C12*1826,0)</f>
        <v>11723</v>
      </c>
      <c r="G300" s="4" t="s">
        <v>8</v>
      </c>
      <c r="H300" s="17" t="s">
        <v>29</v>
      </c>
    </row>
    <row r="301" spans="2:8" s="1" customFormat="1" ht="13.5" customHeight="1" x14ac:dyDescent="0.15">
      <c r="B301" s="33"/>
      <c r="C301" s="5" t="s">
        <v>4</v>
      </c>
      <c r="D301" s="9">
        <f>ROUND(C12*815,0)</f>
        <v>5232</v>
      </c>
      <c r="E301" s="6" t="s">
        <v>5</v>
      </c>
      <c r="F301" s="11">
        <f>ROUND(C12*1826,0)</f>
        <v>11723</v>
      </c>
      <c r="G301" s="35">
        <v>100</v>
      </c>
      <c r="H301" s="17"/>
    </row>
    <row r="302" spans="2:8" s="1" customFormat="1" ht="13.5" customHeight="1" x14ac:dyDescent="0.15">
      <c r="B302" s="33"/>
      <c r="C302" s="7" t="s">
        <v>6</v>
      </c>
      <c r="D302" s="10">
        <v>3</v>
      </c>
      <c r="E302" s="8" t="s">
        <v>7</v>
      </c>
      <c r="F302" s="12">
        <f>ROUND(C12*480,0)</f>
        <v>3082</v>
      </c>
      <c r="G302" s="36"/>
      <c r="H302" s="17"/>
    </row>
    <row r="303" spans="2:8" s="1" customFormat="1" ht="14.25" thickBot="1" x14ac:dyDescent="0.2">
      <c r="B303" s="34"/>
      <c r="C303" s="18" t="s">
        <v>16</v>
      </c>
      <c r="D303" s="19" t="s">
        <v>372</v>
      </c>
      <c r="E303" s="20" t="s">
        <v>17</v>
      </c>
      <c r="F303" s="21" t="s">
        <v>113</v>
      </c>
      <c r="G303" s="22" t="s">
        <v>20</v>
      </c>
      <c r="H303" s="23" t="s">
        <v>37</v>
      </c>
    </row>
    <row r="304" spans="2:8" s="1" customFormat="1" x14ac:dyDescent="0.15">
      <c r="B304" s="13" t="s">
        <v>1</v>
      </c>
      <c r="C304" s="14" t="s">
        <v>0</v>
      </c>
      <c r="D304" s="29" t="s">
        <v>182</v>
      </c>
      <c r="E304" s="30"/>
      <c r="F304" s="31"/>
      <c r="G304" s="15" t="s">
        <v>57</v>
      </c>
      <c r="H304" s="16" t="s">
        <v>31</v>
      </c>
    </row>
    <row r="305" spans="2:8" s="1" customFormat="1" x14ac:dyDescent="0.15">
      <c r="B305" s="32">
        <v>100059</v>
      </c>
      <c r="C305" s="2" t="s">
        <v>2</v>
      </c>
      <c r="D305" s="9">
        <f>ROUND(C12*880,0)</f>
        <v>5650</v>
      </c>
      <c r="E305" s="3" t="s">
        <v>3</v>
      </c>
      <c r="F305" s="11">
        <f>ROUND(C12*880,0)</f>
        <v>5650</v>
      </c>
      <c r="G305" s="4" t="s">
        <v>8</v>
      </c>
      <c r="H305" s="17" t="s">
        <v>22</v>
      </c>
    </row>
    <row r="306" spans="2:8" s="1" customFormat="1" ht="13.5" customHeight="1" x14ac:dyDescent="0.15">
      <c r="B306" s="33"/>
      <c r="C306" s="5" t="s">
        <v>4</v>
      </c>
      <c r="D306" s="9">
        <f>ROUND(C12*720,0)</f>
        <v>4622</v>
      </c>
      <c r="E306" s="6" t="s">
        <v>5</v>
      </c>
      <c r="F306" s="11">
        <f>ROUND(C12*720,0)</f>
        <v>4622</v>
      </c>
      <c r="G306" s="35">
        <v>50</v>
      </c>
      <c r="H306" s="17"/>
    </row>
    <row r="307" spans="2:8" s="1" customFormat="1" ht="13.5" customHeight="1" x14ac:dyDescent="0.15">
      <c r="B307" s="33"/>
      <c r="C307" s="7" t="s">
        <v>6</v>
      </c>
      <c r="D307" s="10">
        <v>5</v>
      </c>
      <c r="E307" s="8" t="s">
        <v>7</v>
      </c>
      <c r="F307" s="12">
        <f>ROUND(C12*370,0)</f>
        <v>2375</v>
      </c>
      <c r="G307" s="36"/>
      <c r="H307" s="17"/>
    </row>
    <row r="308" spans="2:8" s="1" customFormat="1" ht="14.25" thickBot="1" x14ac:dyDescent="0.2">
      <c r="B308" s="34"/>
      <c r="C308" s="18" t="s">
        <v>16</v>
      </c>
      <c r="D308" s="19" t="s">
        <v>413</v>
      </c>
      <c r="E308" s="20" t="s">
        <v>17</v>
      </c>
      <c r="F308" s="21" t="s">
        <v>54</v>
      </c>
      <c r="G308" s="22" t="s">
        <v>20</v>
      </c>
      <c r="H308" s="23" t="s">
        <v>183</v>
      </c>
    </row>
    <row r="309" spans="2:8" s="1" customFormat="1" x14ac:dyDescent="0.15">
      <c r="B309" s="13" t="s">
        <v>1</v>
      </c>
      <c r="C309" s="14" t="s">
        <v>0</v>
      </c>
      <c r="D309" s="29" t="s">
        <v>184</v>
      </c>
      <c r="E309" s="30"/>
      <c r="F309" s="31"/>
      <c r="G309" s="15" t="s">
        <v>57</v>
      </c>
      <c r="H309" s="16" t="s">
        <v>98</v>
      </c>
    </row>
    <row r="310" spans="2:8" s="1" customFormat="1" x14ac:dyDescent="0.15">
      <c r="B310" s="32">
        <v>100060</v>
      </c>
      <c r="C310" s="2" t="s">
        <v>2</v>
      </c>
      <c r="D310" s="9">
        <f>ROUND(C12*720,0)</f>
        <v>4622</v>
      </c>
      <c r="E310" s="3" t="s">
        <v>3</v>
      </c>
      <c r="F310" s="11">
        <f>ROUND(C12*720,0)</f>
        <v>4622</v>
      </c>
      <c r="G310" s="4" t="s">
        <v>8</v>
      </c>
      <c r="H310" s="17" t="s">
        <v>99</v>
      </c>
    </row>
    <row r="311" spans="2:8" s="1" customFormat="1" ht="13.5" customHeight="1" x14ac:dyDescent="0.15">
      <c r="B311" s="33"/>
      <c r="C311" s="5" t="s">
        <v>4</v>
      </c>
      <c r="D311" s="9">
        <f>ROUND(C12*880,0)</f>
        <v>5650</v>
      </c>
      <c r="E311" s="6" t="s">
        <v>5</v>
      </c>
      <c r="F311" s="11">
        <f>ROUND(C12*880,0)</f>
        <v>5650</v>
      </c>
      <c r="G311" s="35">
        <v>100</v>
      </c>
      <c r="H311" s="17"/>
    </row>
    <row r="312" spans="2:8" s="1" customFormat="1" ht="13.5" customHeight="1" x14ac:dyDescent="0.15">
      <c r="B312" s="33"/>
      <c r="C312" s="7" t="s">
        <v>6</v>
      </c>
      <c r="D312" s="10">
        <v>5</v>
      </c>
      <c r="E312" s="8" t="s">
        <v>7</v>
      </c>
      <c r="F312" s="12">
        <f>ROUND(C12*530,0)</f>
        <v>3403</v>
      </c>
      <c r="G312" s="36"/>
      <c r="H312" s="17"/>
    </row>
    <row r="313" spans="2:8" s="1" customFormat="1" ht="14.25" thickBot="1" x14ac:dyDescent="0.2">
      <c r="B313" s="34"/>
      <c r="C313" s="18" t="s">
        <v>16</v>
      </c>
      <c r="D313" s="19" t="s">
        <v>371</v>
      </c>
      <c r="E313" s="20" t="s">
        <v>17</v>
      </c>
      <c r="F313" s="21" t="s">
        <v>82</v>
      </c>
      <c r="G313" s="22" t="s">
        <v>20</v>
      </c>
      <c r="H313" s="23" t="s">
        <v>37</v>
      </c>
    </row>
    <row r="314" spans="2:8" s="1" customFormat="1" x14ac:dyDescent="0.15">
      <c r="B314" s="13" t="s">
        <v>1</v>
      </c>
      <c r="C314" s="14" t="s">
        <v>0</v>
      </c>
      <c r="D314" s="29" t="s">
        <v>185</v>
      </c>
      <c r="E314" s="30"/>
      <c r="F314" s="31"/>
      <c r="G314" s="15" t="s">
        <v>57</v>
      </c>
      <c r="H314" s="16" t="s">
        <v>38</v>
      </c>
    </row>
    <row r="315" spans="2:8" s="1" customFormat="1" x14ac:dyDescent="0.15">
      <c r="B315" s="32">
        <v>100061</v>
      </c>
      <c r="C315" s="2" t="s">
        <v>2</v>
      </c>
      <c r="D315" s="9">
        <f>ROUND(C12*720,0)</f>
        <v>4622</v>
      </c>
      <c r="E315" s="3" t="s">
        <v>3</v>
      </c>
      <c r="F315" s="11">
        <f>ROUND(C12*720,0)</f>
        <v>4622</v>
      </c>
      <c r="G315" s="4" t="s">
        <v>8</v>
      </c>
      <c r="H315" s="17" t="s">
        <v>24</v>
      </c>
    </row>
    <row r="316" spans="2:8" s="1" customFormat="1" ht="13.5" customHeight="1" x14ac:dyDescent="0.15">
      <c r="B316" s="33"/>
      <c r="C316" s="5" t="s">
        <v>4</v>
      </c>
      <c r="D316" s="9">
        <f>ROUND(C12*880,0)</f>
        <v>5650</v>
      </c>
      <c r="E316" s="6" t="s">
        <v>5</v>
      </c>
      <c r="F316" s="11">
        <f>ROUND(C12*880,0)</f>
        <v>5650</v>
      </c>
      <c r="G316" s="35">
        <v>50</v>
      </c>
      <c r="H316" s="17"/>
    </row>
    <row r="317" spans="2:8" s="1" customFormat="1" ht="13.5" customHeight="1" x14ac:dyDescent="0.15">
      <c r="B317" s="33"/>
      <c r="C317" s="7" t="s">
        <v>6</v>
      </c>
      <c r="D317" s="10">
        <v>5</v>
      </c>
      <c r="E317" s="8" t="s">
        <v>7</v>
      </c>
      <c r="F317" s="12">
        <f>ROUND(C12*530,0)</f>
        <v>3403</v>
      </c>
      <c r="G317" s="36"/>
      <c r="H317" s="17"/>
    </row>
    <row r="318" spans="2:8" s="1" customFormat="1" ht="14.25" thickBot="1" x14ac:dyDescent="0.2">
      <c r="B318" s="34"/>
      <c r="C318" s="18" t="s">
        <v>16</v>
      </c>
      <c r="D318" s="19" t="s">
        <v>43</v>
      </c>
      <c r="E318" s="20" t="s">
        <v>17</v>
      </c>
      <c r="F318" s="21" t="s">
        <v>36</v>
      </c>
      <c r="G318" s="22" t="s">
        <v>20</v>
      </c>
      <c r="H318" s="23" t="s">
        <v>37</v>
      </c>
    </row>
    <row r="319" spans="2:8" s="1" customFormat="1" x14ac:dyDescent="0.15">
      <c r="B319" s="13" t="s">
        <v>1</v>
      </c>
      <c r="C319" s="14" t="s">
        <v>0</v>
      </c>
      <c r="D319" s="29" t="s">
        <v>186</v>
      </c>
      <c r="E319" s="30"/>
      <c r="F319" s="31"/>
      <c r="G319" s="15" t="s">
        <v>57</v>
      </c>
      <c r="H319" s="16" t="s">
        <v>108</v>
      </c>
    </row>
    <row r="320" spans="2:8" s="1" customFormat="1" x14ac:dyDescent="0.15">
      <c r="B320" s="32">
        <v>100062</v>
      </c>
      <c r="C320" s="2" t="s">
        <v>2</v>
      </c>
      <c r="D320" s="9">
        <f>ROUND(C12*880,0)</f>
        <v>5650</v>
      </c>
      <c r="E320" s="3" t="s">
        <v>3</v>
      </c>
      <c r="F320" s="11">
        <f>ROUND(C12*1936,0)</f>
        <v>12429</v>
      </c>
      <c r="G320" s="4" t="s">
        <v>8</v>
      </c>
      <c r="H320" s="17" t="s">
        <v>109</v>
      </c>
    </row>
    <row r="321" spans="2:8" s="1" customFormat="1" ht="13.5" customHeight="1" x14ac:dyDescent="0.15">
      <c r="B321" s="33"/>
      <c r="C321" s="5" t="s">
        <v>4</v>
      </c>
      <c r="D321" s="9">
        <f>ROUND(C12*720,0)</f>
        <v>4622</v>
      </c>
      <c r="E321" s="6" t="s">
        <v>5</v>
      </c>
      <c r="F321" s="11">
        <f>ROUND(C12*1584,0)</f>
        <v>10169</v>
      </c>
      <c r="G321" s="35">
        <v>100</v>
      </c>
      <c r="H321" s="17"/>
    </row>
    <row r="322" spans="2:8" s="1" customFormat="1" ht="13.5" customHeight="1" x14ac:dyDescent="0.15">
      <c r="B322" s="33"/>
      <c r="C322" s="7" t="s">
        <v>6</v>
      </c>
      <c r="D322" s="10">
        <v>3</v>
      </c>
      <c r="E322" s="8" t="s">
        <v>7</v>
      </c>
      <c r="F322" s="12">
        <f>ROUND(C12*370,0)</f>
        <v>2375</v>
      </c>
      <c r="G322" s="36"/>
      <c r="H322" s="17"/>
    </row>
    <row r="323" spans="2:8" s="1" customFormat="1" ht="14.25" thickBot="1" x14ac:dyDescent="0.2">
      <c r="B323" s="34"/>
      <c r="C323" s="18" t="s">
        <v>16</v>
      </c>
      <c r="D323" s="19" t="s">
        <v>39</v>
      </c>
      <c r="E323" s="20" t="s">
        <v>17</v>
      </c>
      <c r="F323" s="21" t="s">
        <v>49</v>
      </c>
      <c r="G323" s="22" t="s">
        <v>20</v>
      </c>
      <c r="H323" s="23" t="s">
        <v>37</v>
      </c>
    </row>
    <row r="324" spans="2:8" s="1" customFormat="1" x14ac:dyDescent="0.15">
      <c r="B324" s="13" t="s">
        <v>1</v>
      </c>
      <c r="C324" s="14" t="s">
        <v>0</v>
      </c>
      <c r="D324" s="29" t="s">
        <v>187</v>
      </c>
      <c r="E324" s="30"/>
      <c r="F324" s="31"/>
      <c r="G324" s="15" t="s">
        <v>57</v>
      </c>
      <c r="H324" s="16" t="s">
        <v>188</v>
      </c>
    </row>
    <row r="325" spans="2:8" s="1" customFormat="1" x14ac:dyDescent="0.15">
      <c r="B325" s="32">
        <v>100063</v>
      </c>
      <c r="C325" s="2" t="s">
        <v>2</v>
      </c>
      <c r="D325" s="9">
        <f>ROUND(C12*880,0)</f>
        <v>5650</v>
      </c>
      <c r="E325" s="3" t="s">
        <v>3</v>
      </c>
      <c r="F325" s="11">
        <f>ROUND(C12*880,0)</f>
        <v>5650</v>
      </c>
      <c r="G325" s="4" t="s">
        <v>8</v>
      </c>
      <c r="H325" s="17" t="s">
        <v>189</v>
      </c>
    </row>
    <row r="326" spans="2:8" s="1" customFormat="1" ht="13.5" customHeight="1" x14ac:dyDescent="0.15">
      <c r="B326" s="33"/>
      <c r="C326" s="5" t="s">
        <v>4</v>
      </c>
      <c r="D326" s="9">
        <f>ROUND(C12*720,0)</f>
        <v>4622</v>
      </c>
      <c r="E326" s="6" t="s">
        <v>5</v>
      </c>
      <c r="F326" s="11">
        <f>ROUND(C12*720,0)</f>
        <v>4622</v>
      </c>
      <c r="G326" s="35">
        <v>50</v>
      </c>
      <c r="H326" s="17"/>
    </row>
    <row r="327" spans="2:8" s="1" customFormat="1" ht="13.5" customHeight="1" x14ac:dyDescent="0.15">
      <c r="B327" s="33"/>
      <c r="C327" s="7" t="s">
        <v>6</v>
      </c>
      <c r="D327" s="10">
        <v>5</v>
      </c>
      <c r="E327" s="8" t="s">
        <v>7</v>
      </c>
      <c r="F327" s="12">
        <f>ROUND(C12*370,0)</f>
        <v>2375</v>
      </c>
      <c r="G327" s="36"/>
      <c r="H327" s="17"/>
    </row>
    <row r="328" spans="2:8" s="1" customFormat="1" ht="14.25" thickBot="1" x14ac:dyDescent="0.2">
      <c r="B328" s="34"/>
      <c r="C328" s="18" t="s">
        <v>16</v>
      </c>
      <c r="D328" s="19" t="s">
        <v>372</v>
      </c>
      <c r="E328" s="20" t="s">
        <v>17</v>
      </c>
      <c r="F328" s="21" t="s">
        <v>113</v>
      </c>
      <c r="G328" s="22" t="s">
        <v>20</v>
      </c>
      <c r="H328" s="23" t="s">
        <v>37</v>
      </c>
    </row>
    <row r="329" spans="2:8" s="1" customFormat="1" x14ac:dyDescent="0.15">
      <c r="B329" s="13" t="s">
        <v>1</v>
      </c>
      <c r="C329" s="14" t="s">
        <v>0</v>
      </c>
      <c r="D329" s="29" t="s">
        <v>190</v>
      </c>
      <c r="E329" s="30"/>
      <c r="F329" s="31"/>
      <c r="G329" s="15" t="s">
        <v>57</v>
      </c>
      <c r="H329" s="16" t="s">
        <v>55</v>
      </c>
    </row>
    <row r="330" spans="2:8" s="1" customFormat="1" x14ac:dyDescent="0.15">
      <c r="B330" s="32">
        <v>100064</v>
      </c>
      <c r="C330" s="2" t="s">
        <v>2</v>
      </c>
      <c r="D330" s="9">
        <f>ROUND(C12*880,0)</f>
        <v>5650</v>
      </c>
      <c r="E330" s="3" t="s">
        <v>3</v>
      </c>
      <c r="F330" s="11">
        <f>ROUND(C12*880,0)</f>
        <v>5650</v>
      </c>
      <c r="G330" s="4" t="s">
        <v>8</v>
      </c>
      <c r="H330" s="17" t="s">
        <v>30</v>
      </c>
    </row>
    <row r="331" spans="2:8" s="1" customFormat="1" ht="13.5" customHeight="1" x14ac:dyDescent="0.15">
      <c r="B331" s="33"/>
      <c r="C331" s="5" t="s">
        <v>4</v>
      </c>
      <c r="D331" s="9">
        <f>ROUND(C12*720,0)</f>
        <v>4622</v>
      </c>
      <c r="E331" s="6" t="s">
        <v>5</v>
      </c>
      <c r="F331" s="11">
        <f>ROUND(C12*720,0)</f>
        <v>4622</v>
      </c>
      <c r="G331" s="35">
        <v>100</v>
      </c>
      <c r="H331" s="17"/>
    </row>
    <row r="332" spans="2:8" s="1" customFormat="1" ht="13.5" customHeight="1" x14ac:dyDescent="0.15">
      <c r="B332" s="33"/>
      <c r="C332" s="7" t="s">
        <v>6</v>
      </c>
      <c r="D332" s="10">
        <v>5</v>
      </c>
      <c r="E332" s="8" t="s">
        <v>7</v>
      </c>
      <c r="F332" s="12">
        <f>ROUND(C12*370,0)</f>
        <v>2375</v>
      </c>
      <c r="G332" s="36"/>
      <c r="H332" s="17"/>
    </row>
    <row r="333" spans="2:8" s="1" customFormat="1" ht="14.25" thickBot="1" x14ac:dyDescent="0.2">
      <c r="B333" s="34"/>
      <c r="C333" s="18" t="s">
        <v>16</v>
      </c>
      <c r="D333" s="19" t="s">
        <v>414</v>
      </c>
      <c r="E333" s="20" t="s">
        <v>17</v>
      </c>
      <c r="F333" s="21" t="s">
        <v>396</v>
      </c>
      <c r="G333" s="22" t="s">
        <v>20</v>
      </c>
      <c r="H333" s="23" t="s">
        <v>37</v>
      </c>
    </row>
    <row r="334" spans="2:8" s="1" customFormat="1" x14ac:dyDescent="0.15">
      <c r="B334" s="13" t="s">
        <v>1</v>
      </c>
      <c r="C334" s="14" t="s">
        <v>0</v>
      </c>
      <c r="D334" s="29" t="s">
        <v>191</v>
      </c>
      <c r="E334" s="30"/>
      <c r="F334" s="31"/>
      <c r="G334" s="15" t="s">
        <v>57</v>
      </c>
      <c r="H334" s="16" t="s">
        <v>53</v>
      </c>
    </row>
    <row r="335" spans="2:8" s="1" customFormat="1" x14ac:dyDescent="0.15">
      <c r="B335" s="32">
        <v>100065</v>
      </c>
      <c r="C335" s="2" t="s">
        <v>2</v>
      </c>
      <c r="D335" s="9">
        <f>ROUND(C12*720,0)</f>
        <v>4622</v>
      </c>
      <c r="E335" s="3" t="s">
        <v>3</v>
      </c>
      <c r="F335" s="11">
        <f>ROUND(C12*720,0)</f>
        <v>4622</v>
      </c>
      <c r="G335" s="4" t="s">
        <v>8</v>
      </c>
      <c r="H335" s="17" t="s">
        <v>394</v>
      </c>
    </row>
    <row r="336" spans="2:8" s="1" customFormat="1" ht="13.5" customHeight="1" x14ac:dyDescent="0.15">
      <c r="B336" s="33"/>
      <c r="C336" s="5" t="s">
        <v>4</v>
      </c>
      <c r="D336" s="9">
        <f>ROUND(C12*880,0)</f>
        <v>5650</v>
      </c>
      <c r="E336" s="6" t="s">
        <v>5</v>
      </c>
      <c r="F336" s="11">
        <f>ROUND(C12*880,0)</f>
        <v>5650</v>
      </c>
      <c r="G336" s="35">
        <v>30</v>
      </c>
      <c r="H336" s="17"/>
    </row>
    <row r="337" spans="2:8" s="1" customFormat="1" ht="13.5" customHeight="1" x14ac:dyDescent="0.15">
      <c r="B337" s="33"/>
      <c r="C337" s="7" t="s">
        <v>6</v>
      </c>
      <c r="D337" s="10">
        <v>5</v>
      </c>
      <c r="E337" s="8" t="s">
        <v>7</v>
      </c>
      <c r="F337" s="12">
        <f>ROUND(C12*530,0)</f>
        <v>3403</v>
      </c>
      <c r="G337" s="36"/>
      <c r="H337" s="17"/>
    </row>
    <row r="338" spans="2:8" s="1" customFormat="1" ht="14.25" thickBot="1" x14ac:dyDescent="0.2">
      <c r="B338" s="34"/>
      <c r="C338" s="18" t="s">
        <v>16</v>
      </c>
      <c r="D338" s="19" t="s">
        <v>40</v>
      </c>
      <c r="E338" s="20" t="s">
        <v>17</v>
      </c>
      <c r="F338" s="21" t="s">
        <v>48</v>
      </c>
      <c r="G338" s="22" t="s">
        <v>20</v>
      </c>
      <c r="H338" s="23" t="s">
        <v>37</v>
      </c>
    </row>
    <row r="339" spans="2:8" s="1" customFormat="1" x14ac:dyDescent="0.15">
      <c r="B339" s="13" t="s">
        <v>1</v>
      </c>
      <c r="C339" s="14" t="s">
        <v>0</v>
      </c>
      <c r="D339" s="29" t="s">
        <v>192</v>
      </c>
      <c r="E339" s="30"/>
      <c r="F339" s="31"/>
      <c r="G339" s="15" t="s">
        <v>57</v>
      </c>
      <c r="H339" s="16" t="s">
        <v>80</v>
      </c>
    </row>
    <row r="340" spans="2:8" s="1" customFormat="1" x14ac:dyDescent="0.15">
      <c r="B340" s="32">
        <v>100066</v>
      </c>
      <c r="C340" s="2" t="s">
        <v>2</v>
      </c>
      <c r="D340" s="9">
        <f>ROUND(C12*880,0)</f>
        <v>5650</v>
      </c>
      <c r="E340" s="3" t="s">
        <v>3</v>
      </c>
      <c r="F340" s="11">
        <f>ROUND(C12*1936,0)</f>
        <v>12429</v>
      </c>
      <c r="G340" s="4" t="s">
        <v>8</v>
      </c>
      <c r="H340" s="17" t="s">
        <v>81</v>
      </c>
    </row>
    <row r="341" spans="2:8" s="1" customFormat="1" ht="13.5" customHeight="1" x14ac:dyDescent="0.15">
      <c r="B341" s="33"/>
      <c r="C341" s="5" t="s">
        <v>4</v>
      </c>
      <c r="D341" s="9">
        <f>ROUND(C12*720,0)</f>
        <v>4622</v>
      </c>
      <c r="E341" s="6" t="s">
        <v>5</v>
      </c>
      <c r="F341" s="11">
        <f>ROUND(C12*1584,0)</f>
        <v>10169</v>
      </c>
      <c r="G341" s="35">
        <v>100</v>
      </c>
      <c r="H341" s="17"/>
    </row>
    <row r="342" spans="2:8" s="1" customFormat="1" ht="13.5" customHeight="1" x14ac:dyDescent="0.15">
      <c r="B342" s="33"/>
      <c r="C342" s="7" t="s">
        <v>6</v>
      </c>
      <c r="D342" s="10">
        <v>3</v>
      </c>
      <c r="E342" s="8" t="s">
        <v>7</v>
      </c>
      <c r="F342" s="12">
        <f>ROUND(C12*370,0)</f>
        <v>2375</v>
      </c>
      <c r="G342" s="36"/>
      <c r="H342" s="17"/>
    </row>
    <row r="343" spans="2:8" s="1" customFormat="1" ht="14.25" thickBot="1" x14ac:dyDescent="0.2">
      <c r="B343" s="34"/>
      <c r="C343" s="18" t="s">
        <v>16</v>
      </c>
      <c r="D343" s="19" t="s">
        <v>415</v>
      </c>
      <c r="E343" s="20" t="s">
        <v>17</v>
      </c>
      <c r="F343" s="21" t="s">
        <v>56</v>
      </c>
      <c r="G343" s="22" t="s">
        <v>20</v>
      </c>
      <c r="H343" s="23" t="s">
        <v>37</v>
      </c>
    </row>
    <row r="344" spans="2:8" s="1" customFormat="1" x14ac:dyDescent="0.15">
      <c r="B344" s="13" t="s">
        <v>1</v>
      </c>
      <c r="C344" s="14" t="s">
        <v>0</v>
      </c>
      <c r="D344" s="29" t="s">
        <v>193</v>
      </c>
      <c r="E344" s="30"/>
      <c r="F344" s="31"/>
      <c r="G344" s="15" t="s">
        <v>57</v>
      </c>
      <c r="H344" s="16" t="s">
        <v>194</v>
      </c>
    </row>
    <row r="345" spans="2:8" s="1" customFormat="1" x14ac:dyDescent="0.15">
      <c r="B345" s="32">
        <v>100067</v>
      </c>
      <c r="C345" s="2" t="s">
        <v>2</v>
      </c>
      <c r="D345" s="9">
        <f>ROUND(C12*880,0)</f>
        <v>5650</v>
      </c>
      <c r="E345" s="3" t="s">
        <v>3</v>
      </c>
      <c r="F345" s="11">
        <f>ROUND(C12*880,0)</f>
        <v>5650</v>
      </c>
      <c r="G345" s="4" t="s">
        <v>8</v>
      </c>
      <c r="H345" s="17" t="s">
        <v>195</v>
      </c>
    </row>
    <row r="346" spans="2:8" s="1" customFormat="1" ht="13.5" customHeight="1" x14ac:dyDescent="0.15">
      <c r="B346" s="33"/>
      <c r="C346" s="5" t="s">
        <v>4</v>
      </c>
      <c r="D346" s="9">
        <f>ROUND(C12*720,0)</f>
        <v>4622</v>
      </c>
      <c r="E346" s="6" t="s">
        <v>5</v>
      </c>
      <c r="F346" s="11">
        <f>ROUND(C12*720,0)</f>
        <v>4622</v>
      </c>
      <c r="G346" s="35">
        <v>50</v>
      </c>
      <c r="H346" s="17"/>
    </row>
    <row r="347" spans="2:8" s="1" customFormat="1" ht="13.5" customHeight="1" x14ac:dyDescent="0.15">
      <c r="B347" s="33"/>
      <c r="C347" s="7" t="s">
        <v>6</v>
      </c>
      <c r="D347" s="10">
        <v>5</v>
      </c>
      <c r="E347" s="8" t="s">
        <v>7</v>
      </c>
      <c r="F347" s="12">
        <f>ROUND(C12*370,0)</f>
        <v>2375</v>
      </c>
      <c r="G347" s="36"/>
      <c r="H347" s="17"/>
    </row>
    <row r="348" spans="2:8" s="1" customFormat="1" ht="14.25" thickBot="1" x14ac:dyDescent="0.2">
      <c r="B348" s="34"/>
      <c r="C348" s="18" t="s">
        <v>16</v>
      </c>
      <c r="D348" s="19" t="s">
        <v>416</v>
      </c>
      <c r="E348" s="20" t="s">
        <v>17</v>
      </c>
      <c r="F348" s="21" t="s">
        <v>85</v>
      </c>
      <c r="G348" s="22" t="s">
        <v>20</v>
      </c>
      <c r="H348" s="23" t="s">
        <v>37</v>
      </c>
    </row>
    <row r="349" spans="2:8" s="1" customFormat="1" x14ac:dyDescent="0.15">
      <c r="B349" s="13" t="s">
        <v>1</v>
      </c>
      <c r="C349" s="14" t="s">
        <v>0</v>
      </c>
      <c r="D349" s="29" t="s">
        <v>196</v>
      </c>
      <c r="E349" s="30"/>
      <c r="F349" s="31"/>
      <c r="G349" s="15" t="s">
        <v>57</v>
      </c>
      <c r="H349" s="16" t="s">
        <v>116</v>
      </c>
    </row>
    <row r="350" spans="2:8" s="1" customFormat="1" x14ac:dyDescent="0.15">
      <c r="B350" s="32">
        <v>100068</v>
      </c>
      <c r="C350" s="2" t="s">
        <v>2</v>
      </c>
      <c r="D350" s="9">
        <f>ROUND(C12*720,0)</f>
        <v>4622</v>
      </c>
      <c r="E350" s="3" t="s">
        <v>3</v>
      </c>
      <c r="F350" s="11">
        <f>ROUND(C12*720,0)</f>
        <v>4622</v>
      </c>
      <c r="G350" s="4" t="s">
        <v>8</v>
      </c>
      <c r="H350" s="17" t="s">
        <v>117</v>
      </c>
    </row>
    <row r="351" spans="2:8" s="1" customFormat="1" ht="13.5" customHeight="1" x14ac:dyDescent="0.15">
      <c r="B351" s="33"/>
      <c r="C351" s="5" t="s">
        <v>4</v>
      </c>
      <c r="D351" s="9">
        <f>ROUND(C12*880,0)</f>
        <v>5650</v>
      </c>
      <c r="E351" s="6" t="s">
        <v>5</v>
      </c>
      <c r="F351" s="11">
        <f>ROUND(C12*880,0)</f>
        <v>5650</v>
      </c>
      <c r="G351" s="35">
        <v>100</v>
      </c>
      <c r="H351" s="17"/>
    </row>
    <row r="352" spans="2:8" s="1" customFormat="1" ht="13.5" customHeight="1" x14ac:dyDescent="0.15">
      <c r="B352" s="33"/>
      <c r="C352" s="7" t="s">
        <v>6</v>
      </c>
      <c r="D352" s="10">
        <v>5</v>
      </c>
      <c r="E352" s="8" t="s">
        <v>7</v>
      </c>
      <c r="F352" s="12">
        <f>ROUND(C12*530,0)</f>
        <v>3403</v>
      </c>
      <c r="G352" s="36"/>
      <c r="H352" s="17"/>
    </row>
    <row r="353" spans="2:8" s="1" customFormat="1" ht="14.25" thickBot="1" x14ac:dyDescent="0.2">
      <c r="B353" s="34"/>
      <c r="C353" s="18" t="s">
        <v>16</v>
      </c>
      <c r="D353" s="19" t="s">
        <v>382</v>
      </c>
      <c r="E353" s="20" t="s">
        <v>17</v>
      </c>
      <c r="F353" s="21" t="s">
        <v>85</v>
      </c>
      <c r="G353" s="22" t="s">
        <v>20</v>
      </c>
      <c r="H353" s="23" t="s">
        <v>37</v>
      </c>
    </row>
    <row r="354" spans="2:8" s="1" customFormat="1" x14ac:dyDescent="0.15">
      <c r="B354" s="13" t="s">
        <v>1</v>
      </c>
      <c r="C354" s="14" t="s">
        <v>0</v>
      </c>
      <c r="D354" s="29" t="s">
        <v>197</v>
      </c>
      <c r="E354" s="30"/>
      <c r="F354" s="31"/>
      <c r="G354" s="15" t="s">
        <v>57</v>
      </c>
      <c r="H354" s="16" t="s">
        <v>88</v>
      </c>
    </row>
    <row r="355" spans="2:8" s="1" customFormat="1" x14ac:dyDescent="0.15">
      <c r="B355" s="32">
        <v>100071</v>
      </c>
      <c r="C355" s="2" t="s">
        <v>2</v>
      </c>
      <c r="D355" s="9">
        <f>ROUND(C12*720,0)</f>
        <v>4622</v>
      </c>
      <c r="E355" s="3" t="s">
        <v>3</v>
      </c>
      <c r="F355" s="11">
        <f>ROUND(C12*720,0)</f>
        <v>4622</v>
      </c>
      <c r="G355" s="4" t="s">
        <v>8</v>
      </c>
      <c r="H355" s="17" t="s">
        <v>89</v>
      </c>
    </row>
    <row r="356" spans="2:8" s="1" customFormat="1" ht="13.5" customHeight="1" x14ac:dyDescent="0.15">
      <c r="B356" s="33"/>
      <c r="C356" s="5" t="s">
        <v>4</v>
      </c>
      <c r="D356" s="9">
        <f>ROUND(C12*880,0)</f>
        <v>5650</v>
      </c>
      <c r="E356" s="6" t="s">
        <v>5</v>
      </c>
      <c r="F356" s="11">
        <f>ROUND(C12*880,0)</f>
        <v>5650</v>
      </c>
      <c r="G356" s="35">
        <v>50</v>
      </c>
      <c r="H356" s="17"/>
    </row>
    <row r="357" spans="2:8" s="1" customFormat="1" ht="13.5" customHeight="1" x14ac:dyDescent="0.15">
      <c r="B357" s="33"/>
      <c r="C357" s="7" t="s">
        <v>6</v>
      </c>
      <c r="D357" s="10">
        <v>5</v>
      </c>
      <c r="E357" s="8" t="s">
        <v>7</v>
      </c>
      <c r="F357" s="12">
        <f>ROUND(C12*530,0)</f>
        <v>3403</v>
      </c>
      <c r="G357" s="36"/>
      <c r="H357" s="17"/>
    </row>
    <row r="358" spans="2:8" s="1" customFormat="1" ht="14.25" thickBot="1" x14ac:dyDescent="0.2">
      <c r="B358" s="34"/>
      <c r="C358" s="18" t="s">
        <v>16</v>
      </c>
      <c r="D358" s="19" t="s">
        <v>372</v>
      </c>
      <c r="E358" s="20" t="s">
        <v>17</v>
      </c>
      <c r="F358" s="21" t="s">
        <v>113</v>
      </c>
      <c r="G358" s="22" t="s">
        <v>20</v>
      </c>
      <c r="H358" s="23" t="s">
        <v>72</v>
      </c>
    </row>
    <row r="359" spans="2:8" s="1" customFormat="1" x14ac:dyDescent="0.15">
      <c r="B359" s="13" t="s">
        <v>1</v>
      </c>
      <c r="C359" s="14" t="s">
        <v>0</v>
      </c>
      <c r="D359" s="29" t="s">
        <v>198</v>
      </c>
      <c r="E359" s="30"/>
      <c r="F359" s="31"/>
      <c r="G359" s="15" t="s">
        <v>57</v>
      </c>
      <c r="H359" s="16" t="s">
        <v>128</v>
      </c>
    </row>
    <row r="360" spans="2:8" s="1" customFormat="1" x14ac:dyDescent="0.15">
      <c r="B360" s="32">
        <v>100072</v>
      </c>
      <c r="C360" s="2" t="s">
        <v>2</v>
      </c>
      <c r="D360" s="9">
        <f>ROUND(C12*815,0)</f>
        <v>5232</v>
      </c>
      <c r="E360" s="3" t="s">
        <v>3</v>
      </c>
      <c r="F360" s="11">
        <f>ROUND(C12*1826,0)</f>
        <v>11723</v>
      </c>
      <c r="G360" s="4" t="s">
        <v>8</v>
      </c>
      <c r="H360" s="17" t="s">
        <v>129</v>
      </c>
    </row>
    <row r="361" spans="2:8" s="1" customFormat="1" ht="13.5" customHeight="1" x14ac:dyDescent="0.15">
      <c r="B361" s="33"/>
      <c r="C361" s="5" t="s">
        <v>4</v>
      </c>
      <c r="D361" s="9">
        <f>ROUND(C12*815,0)</f>
        <v>5232</v>
      </c>
      <c r="E361" s="6" t="s">
        <v>5</v>
      </c>
      <c r="F361" s="11">
        <f>ROUND(C12*1826,0)</f>
        <v>11723</v>
      </c>
      <c r="G361" s="35">
        <v>100</v>
      </c>
      <c r="H361" s="17"/>
    </row>
    <row r="362" spans="2:8" s="1" customFormat="1" ht="13.5" customHeight="1" x14ac:dyDescent="0.15">
      <c r="B362" s="33"/>
      <c r="C362" s="7" t="s">
        <v>6</v>
      </c>
      <c r="D362" s="10">
        <v>3</v>
      </c>
      <c r="E362" s="8" t="s">
        <v>7</v>
      </c>
      <c r="F362" s="12">
        <f>ROUND(C12*480,0)</f>
        <v>3082</v>
      </c>
      <c r="G362" s="36"/>
      <c r="H362" s="17"/>
    </row>
    <row r="363" spans="2:8" s="1" customFormat="1" ht="14.25" thickBot="1" x14ac:dyDescent="0.2">
      <c r="B363" s="34"/>
      <c r="C363" s="18" t="s">
        <v>16</v>
      </c>
      <c r="D363" s="19" t="s">
        <v>417</v>
      </c>
      <c r="E363" s="20" t="s">
        <v>17</v>
      </c>
      <c r="F363" s="21" t="s">
        <v>396</v>
      </c>
      <c r="G363" s="22" t="s">
        <v>20</v>
      </c>
      <c r="H363" s="23" t="s">
        <v>37</v>
      </c>
    </row>
    <row r="364" spans="2:8" s="1" customFormat="1" x14ac:dyDescent="0.15">
      <c r="B364" s="13" t="s">
        <v>1</v>
      </c>
      <c r="C364" s="14" t="s">
        <v>0</v>
      </c>
      <c r="D364" s="29" t="s">
        <v>199</v>
      </c>
      <c r="E364" s="30"/>
      <c r="F364" s="31"/>
      <c r="G364" s="15" t="s">
        <v>57</v>
      </c>
      <c r="H364" s="16" t="s">
        <v>95</v>
      </c>
    </row>
    <row r="365" spans="2:8" s="1" customFormat="1" x14ac:dyDescent="0.15">
      <c r="B365" s="32">
        <v>100073</v>
      </c>
      <c r="C365" s="2" t="s">
        <v>2</v>
      </c>
      <c r="D365" s="9">
        <f>ROUND(C12*720,0)</f>
        <v>4622</v>
      </c>
      <c r="E365" s="3" t="s">
        <v>3</v>
      </c>
      <c r="F365" s="11">
        <f>ROUND(C12*720,0)</f>
        <v>4622</v>
      </c>
      <c r="G365" s="4" t="s">
        <v>8</v>
      </c>
      <c r="H365" s="17" t="s">
        <v>96</v>
      </c>
    </row>
    <row r="366" spans="2:8" s="1" customFormat="1" ht="13.5" customHeight="1" x14ac:dyDescent="0.15">
      <c r="B366" s="33"/>
      <c r="C366" s="5" t="s">
        <v>4</v>
      </c>
      <c r="D366" s="9">
        <f>ROUND(C12*880,0)</f>
        <v>5650</v>
      </c>
      <c r="E366" s="6" t="s">
        <v>5</v>
      </c>
      <c r="F366" s="11">
        <f>ROUND(C12*880,0)</f>
        <v>5650</v>
      </c>
      <c r="G366" s="35">
        <v>50</v>
      </c>
      <c r="H366" s="17"/>
    </row>
    <row r="367" spans="2:8" s="1" customFormat="1" ht="13.5" customHeight="1" x14ac:dyDescent="0.15">
      <c r="B367" s="33"/>
      <c r="C367" s="7" t="s">
        <v>6</v>
      </c>
      <c r="D367" s="10">
        <v>5</v>
      </c>
      <c r="E367" s="8" t="s">
        <v>7</v>
      </c>
      <c r="F367" s="12">
        <f>ROUND(C12*530,0)</f>
        <v>3403</v>
      </c>
      <c r="G367" s="36"/>
      <c r="H367" s="17"/>
    </row>
    <row r="368" spans="2:8" s="1" customFormat="1" ht="14.25" thickBot="1" x14ac:dyDescent="0.2">
      <c r="B368" s="34"/>
      <c r="C368" s="18" t="s">
        <v>16</v>
      </c>
      <c r="D368" s="19" t="s">
        <v>417</v>
      </c>
      <c r="E368" s="20" t="s">
        <v>17</v>
      </c>
      <c r="F368" s="21" t="s">
        <v>418</v>
      </c>
      <c r="G368" s="22" t="s">
        <v>20</v>
      </c>
      <c r="H368" s="23" t="s">
        <v>153</v>
      </c>
    </row>
    <row r="369" spans="2:8" s="1" customFormat="1" x14ac:dyDescent="0.15">
      <c r="B369" s="13" t="s">
        <v>1</v>
      </c>
      <c r="C369" s="14" t="s">
        <v>0</v>
      </c>
      <c r="D369" s="29" t="s">
        <v>200</v>
      </c>
      <c r="E369" s="30"/>
      <c r="F369" s="31"/>
      <c r="G369" s="15" t="s">
        <v>57</v>
      </c>
      <c r="H369" s="16" t="s">
        <v>35</v>
      </c>
    </row>
    <row r="370" spans="2:8" s="1" customFormat="1" x14ac:dyDescent="0.15">
      <c r="B370" s="32">
        <v>100074</v>
      </c>
      <c r="C370" s="2" t="s">
        <v>2</v>
      </c>
      <c r="D370" s="9">
        <f>ROUND(C12*880,0)</f>
        <v>5650</v>
      </c>
      <c r="E370" s="3" t="s">
        <v>3</v>
      </c>
      <c r="F370" s="11">
        <f>ROUND(C12*880,0)</f>
        <v>5650</v>
      </c>
      <c r="G370" s="4" t="s">
        <v>8</v>
      </c>
      <c r="H370" s="17" t="s">
        <v>23</v>
      </c>
    </row>
    <row r="371" spans="2:8" s="1" customFormat="1" ht="13.5" customHeight="1" x14ac:dyDescent="0.15">
      <c r="B371" s="33"/>
      <c r="C371" s="5" t="s">
        <v>4</v>
      </c>
      <c r="D371" s="9">
        <f>ROUND(C12*720,0)</f>
        <v>4622</v>
      </c>
      <c r="E371" s="6" t="s">
        <v>5</v>
      </c>
      <c r="F371" s="11">
        <f>ROUND(C12*720,0)</f>
        <v>4622</v>
      </c>
      <c r="G371" s="35">
        <v>100</v>
      </c>
      <c r="H371" s="17"/>
    </row>
    <row r="372" spans="2:8" s="1" customFormat="1" ht="13.5" customHeight="1" x14ac:dyDescent="0.15">
      <c r="B372" s="33"/>
      <c r="C372" s="7" t="s">
        <v>6</v>
      </c>
      <c r="D372" s="10">
        <v>5</v>
      </c>
      <c r="E372" s="8" t="s">
        <v>7</v>
      </c>
      <c r="F372" s="12">
        <f>ROUND(C12*370,0)</f>
        <v>2375</v>
      </c>
      <c r="G372" s="36"/>
      <c r="H372" s="17"/>
    </row>
    <row r="373" spans="2:8" s="1" customFormat="1" ht="14.25" thickBot="1" x14ac:dyDescent="0.2">
      <c r="B373" s="34"/>
      <c r="C373" s="18" t="s">
        <v>16</v>
      </c>
      <c r="D373" s="19" t="s">
        <v>389</v>
      </c>
      <c r="E373" s="20" t="s">
        <v>17</v>
      </c>
      <c r="F373" s="21" t="s">
        <v>418</v>
      </c>
      <c r="G373" s="22" t="s">
        <v>20</v>
      </c>
      <c r="H373" s="23" t="s">
        <v>37</v>
      </c>
    </row>
    <row r="374" spans="2:8" s="1" customFormat="1" x14ac:dyDescent="0.15">
      <c r="B374" s="13" t="s">
        <v>1</v>
      </c>
      <c r="C374" s="14" t="s">
        <v>0</v>
      </c>
      <c r="D374" s="29" t="s">
        <v>201</v>
      </c>
      <c r="E374" s="30"/>
      <c r="F374" s="31"/>
      <c r="G374" s="15" t="s">
        <v>57</v>
      </c>
      <c r="H374" s="16" t="s">
        <v>41</v>
      </c>
    </row>
    <row r="375" spans="2:8" s="1" customFormat="1" x14ac:dyDescent="0.15">
      <c r="B375" s="32">
        <v>100075</v>
      </c>
      <c r="C375" s="2" t="s">
        <v>2</v>
      </c>
      <c r="D375" s="9">
        <f>ROUND(C12*880,0)</f>
        <v>5650</v>
      </c>
      <c r="E375" s="3" t="s">
        <v>3</v>
      </c>
      <c r="F375" s="11">
        <f>ROUND(C12*1936,0)</f>
        <v>12429</v>
      </c>
      <c r="G375" s="4" t="s">
        <v>8</v>
      </c>
      <c r="H375" s="17" t="s">
        <v>25</v>
      </c>
    </row>
    <row r="376" spans="2:8" s="1" customFormat="1" ht="13.5" customHeight="1" x14ac:dyDescent="0.15">
      <c r="B376" s="33"/>
      <c r="C376" s="5" t="s">
        <v>4</v>
      </c>
      <c r="D376" s="9">
        <f>ROUND(C12*720,0)</f>
        <v>4622</v>
      </c>
      <c r="E376" s="6" t="s">
        <v>5</v>
      </c>
      <c r="F376" s="11">
        <f>ROUND(C12*1584,0)</f>
        <v>10169</v>
      </c>
      <c r="G376" s="35">
        <v>100</v>
      </c>
      <c r="H376" s="17"/>
    </row>
    <row r="377" spans="2:8" s="1" customFormat="1" ht="13.5" customHeight="1" x14ac:dyDescent="0.15">
      <c r="B377" s="33"/>
      <c r="C377" s="7" t="s">
        <v>6</v>
      </c>
      <c r="D377" s="10">
        <v>3</v>
      </c>
      <c r="E377" s="8" t="s">
        <v>7</v>
      </c>
      <c r="F377" s="12">
        <f>ROUND(C12*370,0)</f>
        <v>2375</v>
      </c>
      <c r="G377" s="36"/>
      <c r="H377" s="17"/>
    </row>
    <row r="378" spans="2:8" s="1" customFormat="1" ht="14.25" thickBot="1" x14ac:dyDescent="0.2">
      <c r="B378" s="34"/>
      <c r="C378" s="18" t="s">
        <v>16</v>
      </c>
      <c r="D378" s="19" t="s">
        <v>39</v>
      </c>
      <c r="E378" s="20" t="s">
        <v>17</v>
      </c>
      <c r="F378" s="21" t="s">
        <v>49</v>
      </c>
      <c r="G378" s="22" t="s">
        <v>20</v>
      </c>
      <c r="H378" s="23" t="s">
        <v>37</v>
      </c>
    </row>
    <row r="379" spans="2:8" s="1" customFormat="1" x14ac:dyDescent="0.15">
      <c r="B379" s="13" t="s">
        <v>1</v>
      </c>
      <c r="C379" s="14" t="s">
        <v>0</v>
      </c>
      <c r="D379" s="29" t="s">
        <v>202</v>
      </c>
      <c r="E379" s="30"/>
      <c r="F379" s="31"/>
      <c r="G379" s="15" t="s">
        <v>57</v>
      </c>
      <c r="H379" s="16" t="s">
        <v>131</v>
      </c>
    </row>
    <row r="380" spans="2:8" s="1" customFormat="1" x14ac:dyDescent="0.15">
      <c r="B380" s="32">
        <v>100076</v>
      </c>
      <c r="C380" s="2" t="s">
        <v>2</v>
      </c>
      <c r="D380" s="9">
        <f>ROUND(C12*720,0)</f>
        <v>4622</v>
      </c>
      <c r="E380" s="3" t="s">
        <v>3</v>
      </c>
      <c r="F380" s="11">
        <f>ROUND(C12*720,0)</f>
        <v>4622</v>
      </c>
      <c r="G380" s="4" t="s">
        <v>8</v>
      </c>
      <c r="H380" s="17" t="s">
        <v>132</v>
      </c>
    </row>
    <row r="381" spans="2:8" s="1" customFormat="1" ht="13.5" customHeight="1" x14ac:dyDescent="0.15">
      <c r="B381" s="33"/>
      <c r="C381" s="5" t="s">
        <v>4</v>
      </c>
      <c r="D381" s="9">
        <f>ROUND(C12*880,0)</f>
        <v>5650</v>
      </c>
      <c r="E381" s="6" t="s">
        <v>5</v>
      </c>
      <c r="F381" s="11">
        <f>ROUND(C12*880,0)</f>
        <v>5650</v>
      </c>
      <c r="G381" s="35">
        <v>100</v>
      </c>
      <c r="H381" s="17"/>
    </row>
    <row r="382" spans="2:8" s="1" customFormat="1" ht="13.5" customHeight="1" x14ac:dyDescent="0.15">
      <c r="B382" s="33"/>
      <c r="C382" s="7" t="s">
        <v>6</v>
      </c>
      <c r="D382" s="10">
        <v>5</v>
      </c>
      <c r="E382" s="8" t="s">
        <v>7</v>
      </c>
      <c r="F382" s="12">
        <f>ROUND(C12*530,0)</f>
        <v>3403</v>
      </c>
      <c r="G382" s="36"/>
      <c r="H382" s="17"/>
    </row>
    <row r="383" spans="2:8" s="1" customFormat="1" ht="14.25" thickBot="1" x14ac:dyDescent="0.2">
      <c r="B383" s="34"/>
      <c r="C383" s="18" t="s">
        <v>16</v>
      </c>
      <c r="D383" s="19" t="s">
        <v>40</v>
      </c>
      <c r="E383" s="20" t="s">
        <v>17</v>
      </c>
      <c r="F383" s="21" t="s">
        <v>48</v>
      </c>
      <c r="G383" s="22" t="s">
        <v>20</v>
      </c>
      <c r="H383" s="23" t="s">
        <v>37</v>
      </c>
    </row>
    <row r="384" spans="2:8" s="1" customFormat="1" x14ac:dyDescent="0.15">
      <c r="B384" s="13" t="s">
        <v>1</v>
      </c>
      <c r="C384" s="14" t="s">
        <v>0</v>
      </c>
      <c r="D384" s="29" t="s">
        <v>203</v>
      </c>
      <c r="E384" s="30"/>
      <c r="F384" s="31"/>
      <c r="G384" s="15" t="s">
        <v>57</v>
      </c>
      <c r="H384" s="16" t="s">
        <v>204</v>
      </c>
    </row>
    <row r="385" spans="2:8" s="1" customFormat="1" x14ac:dyDescent="0.15">
      <c r="B385" s="32">
        <v>100077</v>
      </c>
      <c r="C385" s="2" t="s">
        <v>2</v>
      </c>
      <c r="D385" s="9">
        <f>ROUND(C12*720,0)</f>
        <v>4622</v>
      </c>
      <c r="E385" s="3" t="s">
        <v>3</v>
      </c>
      <c r="F385" s="11">
        <f>ROUND(C12*720,0)</f>
        <v>4622</v>
      </c>
      <c r="G385" s="4" t="s">
        <v>8</v>
      </c>
      <c r="H385" s="17" t="s">
        <v>205</v>
      </c>
    </row>
    <row r="386" spans="2:8" s="1" customFormat="1" ht="13.5" customHeight="1" x14ac:dyDescent="0.15">
      <c r="B386" s="33"/>
      <c r="C386" s="5" t="s">
        <v>4</v>
      </c>
      <c r="D386" s="9">
        <f>ROUND(C12*880,0)</f>
        <v>5650</v>
      </c>
      <c r="E386" s="6" t="s">
        <v>5</v>
      </c>
      <c r="F386" s="11">
        <f>ROUND(C12*880,0)</f>
        <v>5650</v>
      </c>
      <c r="G386" s="35">
        <v>100</v>
      </c>
      <c r="H386" s="17"/>
    </row>
    <row r="387" spans="2:8" s="1" customFormat="1" ht="13.5" customHeight="1" x14ac:dyDescent="0.15">
      <c r="B387" s="33"/>
      <c r="C387" s="7" t="s">
        <v>6</v>
      </c>
      <c r="D387" s="10">
        <v>5</v>
      </c>
      <c r="E387" s="8" t="s">
        <v>7</v>
      </c>
      <c r="F387" s="12">
        <f>ROUND(C12*530,0)</f>
        <v>3403</v>
      </c>
      <c r="G387" s="36"/>
      <c r="H387" s="17"/>
    </row>
    <row r="388" spans="2:8" s="1" customFormat="1" ht="14.25" thickBot="1" x14ac:dyDescent="0.2">
      <c r="B388" s="34"/>
      <c r="C388" s="18" t="s">
        <v>16</v>
      </c>
      <c r="D388" s="19" t="s">
        <v>390</v>
      </c>
      <c r="E388" s="20" t="s">
        <v>17</v>
      </c>
      <c r="F388" s="21" t="s">
        <v>32</v>
      </c>
      <c r="G388" s="22" t="s">
        <v>20</v>
      </c>
      <c r="H388" s="23" t="s">
        <v>37</v>
      </c>
    </row>
    <row r="389" spans="2:8" s="1" customFormat="1" x14ac:dyDescent="0.15">
      <c r="B389" s="13" t="s">
        <v>1</v>
      </c>
      <c r="C389" s="14" t="s">
        <v>0</v>
      </c>
      <c r="D389" s="29" t="s">
        <v>206</v>
      </c>
      <c r="E389" s="30"/>
      <c r="F389" s="31"/>
      <c r="G389" s="15" t="s">
        <v>57</v>
      </c>
      <c r="H389" s="16" t="s">
        <v>146</v>
      </c>
    </row>
    <row r="390" spans="2:8" s="1" customFormat="1" x14ac:dyDescent="0.15">
      <c r="B390" s="32">
        <v>100078</v>
      </c>
      <c r="C390" s="2" t="s">
        <v>2</v>
      </c>
      <c r="D390" s="9">
        <f>ROUND(C12*720,0)</f>
        <v>4622</v>
      </c>
      <c r="E390" s="3" t="s">
        <v>3</v>
      </c>
      <c r="F390" s="11">
        <f>ROUND(C12*1584,0)</f>
        <v>10169</v>
      </c>
      <c r="G390" s="4" t="s">
        <v>8</v>
      </c>
      <c r="H390" s="17" t="s">
        <v>147</v>
      </c>
    </row>
    <row r="391" spans="2:8" s="1" customFormat="1" ht="13.5" customHeight="1" x14ac:dyDescent="0.15">
      <c r="B391" s="33"/>
      <c r="C391" s="5" t="s">
        <v>4</v>
      </c>
      <c r="D391" s="9">
        <f>ROUND(C12*880,0)</f>
        <v>5650</v>
      </c>
      <c r="E391" s="6" t="s">
        <v>5</v>
      </c>
      <c r="F391" s="11">
        <f>ROUND(C12*1936,0)</f>
        <v>12429</v>
      </c>
      <c r="G391" s="35">
        <v>100</v>
      </c>
      <c r="H391" s="17"/>
    </row>
    <row r="392" spans="2:8" s="1" customFormat="1" ht="13.5" customHeight="1" x14ac:dyDescent="0.15">
      <c r="B392" s="33"/>
      <c r="C392" s="7" t="s">
        <v>6</v>
      </c>
      <c r="D392" s="10">
        <v>3</v>
      </c>
      <c r="E392" s="8" t="s">
        <v>7</v>
      </c>
      <c r="F392" s="12">
        <f>ROUND(C12*530,0)</f>
        <v>3403</v>
      </c>
      <c r="G392" s="36"/>
      <c r="H392" s="17"/>
    </row>
    <row r="393" spans="2:8" s="1" customFormat="1" ht="14.25" thickBot="1" x14ac:dyDescent="0.2">
      <c r="B393" s="34"/>
      <c r="C393" s="18" t="s">
        <v>16</v>
      </c>
      <c r="D393" s="19" t="s">
        <v>42</v>
      </c>
      <c r="E393" s="20" t="s">
        <v>17</v>
      </c>
      <c r="F393" s="21" t="s">
        <v>113</v>
      </c>
      <c r="G393" s="22" t="s">
        <v>20</v>
      </c>
      <c r="H393" s="23" t="s">
        <v>37</v>
      </c>
    </row>
    <row r="394" spans="2:8" s="1" customFormat="1" x14ac:dyDescent="0.15">
      <c r="B394" s="13" t="s">
        <v>1</v>
      </c>
      <c r="C394" s="14" t="s">
        <v>0</v>
      </c>
      <c r="D394" s="29" t="s">
        <v>207</v>
      </c>
      <c r="E394" s="30"/>
      <c r="F394" s="31"/>
      <c r="G394" s="15" t="s">
        <v>57</v>
      </c>
      <c r="H394" s="16" t="s">
        <v>208</v>
      </c>
    </row>
    <row r="395" spans="2:8" s="1" customFormat="1" x14ac:dyDescent="0.15">
      <c r="B395" s="32">
        <v>100079</v>
      </c>
      <c r="C395" s="2" t="s">
        <v>2</v>
      </c>
      <c r="D395" s="9">
        <f>ROUND(C12*720,0)</f>
        <v>4622</v>
      </c>
      <c r="E395" s="3" t="s">
        <v>3</v>
      </c>
      <c r="F395" s="11">
        <f>ROUND(C12*720,0)</f>
        <v>4622</v>
      </c>
      <c r="G395" s="4" t="s">
        <v>8</v>
      </c>
      <c r="H395" s="17" t="s">
        <v>209</v>
      </c>
    </row>
    <row r="396" spans="2:8" s="1" customFormat="1" ht="13.5" customHeight="1" x14ac:dyDescent="0.15">
      <c r="B396" s="33"/>
      <c r="C396" s="5" t="s">
        <v>4</v>
      </c>
      <c r="D396" s="9">
        <f>ROUND(C12*880,0)</f>
        <v>5650</v>
      </c>
      <c r="E396" s="6" t="s">
        <v>5</v>
      </c>
      <c r="F396" s="11">
        <f>ROUND(C12*880,0)</f>
        <v>5650</v>
      </c>
      <c r="G396" s="35">
        <v>100</v>
      </c>
      <c r="H396" s="17"/>
    </row>
    <row r="397" spans="2:8" s="1" customFormat="1" ht="13.5" customHeight="1" x14ac:dyDescent="0.15">
      <c r="B397" s="33"/>
      <c r="C397" s="7" t="s">
        <v>6</v>
      </c>
      <c r="D397" s="10">
        <v>5</v>
      </c>
      <c r="E397" s="8" t="s">
        <v>7</v>
      </c>
      <c r="F397" s="12">
        <f>ROUND(C12*530,0)</f>
        <v>3403</v>
      </c>
      <c r="G397" s="36"/>
      <c r="H397" s="17"/>
    </row>
    <row r="398" spans="2:8" s="1" customFormat="1" ht="14.25" thickBot="1" x14ac:dyDescent="0.2">
      <c r="B398" s="34"/>
      <c r="C398" s="18" t="s">
        <v>16</v>
      </c>
      <c r="D398" s="19" t="s">
        <v>402</v>
      </c>
      <c r="E398" s="20" t="s">
        <v>17</v>
      </c>
      <c r="F398" s="21" t="s">
        <v>85</v>
      </c>
      <c r="G398" s="22" t="s">
        <v>20</v>
      </c>
      <c r="H398" s="23" t="s">
        <v>37</v>
      </c>
    </row>
    <row r="399" spans="2:8" s="1" customFormat="1" x14ac:dyDescent="0.15">
      <c r="B399" s="13" t="s">
        <v>1</v>
      </c>
      <c r="C399" s="14" t="s">
        <v>0</v>
      </c>
      <c r="D399" s="29" t="s">
        <v>210</v>
      </c>
      <c r="E399" s="30"/>
      <c r="F399" s="31"/>
      <c r="G399" s="15" t="s">
        <v>57</v>
      </c>
      <c r="H399" s="16" t="s">
        <v>50</v>
      </c>
    </row>
    <row r="400" spans="2:8" s="1" customFormat="1" x14ac:dyDescent="0.15">
      <c r="B400" s="32">
        <v>100080</v>
      </c>
      <c r="C400" s="2" t="s">
        <v>2</v>
      </c>
      <c r="D400" s="9">
        <f>ROUND(C12*880,0)</f>
        <v>5650</v>
      </c>
      <c r="E400" s="3" t="s">
        <v>3</v>
      </c>
      <c r="F400" s="11">
        <f>ROUND(C12*880,0)</f>
        <v>5650</v>
      </c>
      <c r="G400" s="4" t="s">
        <v>8</v>
      </c>
      <c r="H400" s="17" t="s">
        <v>29</v>
      </c>
    </row>
    <row r="401" spans="2:8" s="1" customFormat="1" ht="13.5" customHeight="1" x14ac:dyDescent="0.15">
      <c r="B401" s="33"/>
      <c r="C401" s="5" t="s">
        <v>4</v>
      </c>
      <c r="D401" s="9">
        <f>ROUND(C12*720,0)</f>
        <v>4622</v>
      </c>
      <c r="E401" s="6" t="s">
        <v>5</v>
      </c>
      <c r="F401" s="11">
        <f>ROUND(C12*720,0)</f>
        <v>4622</v>
      </c>
      <c r="G401" s="35">
        <v>100</v>
      </c>
      <c r="H401" s="17"/>
    </row>
    <row r="402" spans="2:8" s="1" customFormat="1" ht="13.5" customHeight="1" x14ac:dyDescent="0.15">
      <c r="B402" s="33"/>
      <c r="C402" s="7" t="s">
        <v>6</v>
      </c>
      <c r="D402" s="10">
        <v>5</v>
      </c>
      <c r="E402" s="8" t="s">
        <v>7</v>
      </c>
      <c r="F402" s="12">
        <f>ROUND(C12*370,0)</f>
        <v>2375</v>
      </c>
      <c r="G402" s="36"/>
      <c r="H402" s="17"/>
    </row>
    <row r="403" spans="2:8" s="1" customFormat="1" ht="14.25" thickBot="1" x14ac:dyDescent="0.2">
      <c r="B403" s="34"/>
      <c r="C403" s="18" t="s">
        <v>16</v>
      </c>
      <c r="D403" s="19" t="s">
        <v>419</v>
      </c>
      <c r="E403" s="20" t="s">
        <v>17</v>
      </c>
      <c r="F403" s="21" t="s">
        <v>48</v>
      </c>
      <c r="G403" s="22" t="s">
        <v>20</v>
      </c>
      <c r="H403" s="23" t="s">
        <v>37</v>
      </c>
    </row>
    <row r="404" spans="2:8" s="1" customFormat="1" x14ac:dyDescent="0.15">
      <c r="B404" s="13" t="s">
        <v>1</v>
      </c>
      <c r="C404" s="14" t="s">
        <v>0</v>
      </c>
      <c r="D404" s="29" t="s">
        <v>212</v>
      </c>
      <c r="E404" s="30"/>
      <c r="F404" s="31"/>
      <c r="G404" s="15" t="s">
        <v>57</v>
      </c>
      <c r="H404" s="16" t="s">
        <v>213</v>
      </c>
    </row>
    <row r="405" spans="2:8" s="1" customFormat="1" x14ac:dyDescent="0.15">
      <c r="B405" s="32">
        <v>100081</v>
      </c>
      <c r="C405" s="2" t="s">
        <v>2</v>
      </c>
      <c r="D405" s="9">
        <f>ROUND(C12*880,0)</f>
        <v>5650</v>
      </c>
      <c r="E405" s="3" t="s">
        <v>3</v>
      </c>
      <c r="F405" s="11">
        <f>ROUND(C12*880,0)</f>
        <v>5650</v>
      </c>
      <c r="G405" s="4" t="s">
        <v>8</v>
      </c>
      <c r="H405" s="17" t="s">
        <v>214</v>
      </c>
    </row>
    <row r="406" spans="2:8" s="1" customFormat="1" ht="13.5" customHeight="1" x14ac:dyDescent="0.15">
      <c r="B406" s="33"/>
      <c r="C406" s="5" t="s">
        <v>4</v>
      </c>
      <c r="D406" s="9">
        <f>ROUND(C12*720,0)</f>
        <v>4622</v>
      </c>
      <c r="E406" s="6" t="s">
        <v>5</v>
      </c>
      <c r="F406" s="11">
        <f>ROUND(C12*720,0)</f>
        <v>4622</v>
      </c>
      <c r="G406" s="35">
        <v>100</v>
      </c>
      <c r="H406" s="17"/>
    </row>
    <row r="407" spans="2:8" s="1" customFormat="1" ht="13.5" customHeight="1" x14ac:dyDescent="0.15">
      <c r="B407" s="33"/>
      <c r="C407" s="7" t="s">
        <v>6</v>
      </c>
      <c r="D407" s="10">
        <v>5</v>
      </c>
      <c r="E407" s="8" t="s">
        <v>7</v>
      </c>
      <c r="F407" s="12">
        <f>ROUND(C12*370,0)</f>
        <v>2375</v>
      </c>
      <c r="G407" s="36"/>
      <c r="H407" s="17"/>
    </row>
    <row r="408" spans="2:8" s="1" customFormat="1" ht="14.25" thickBot="1" x14ac:dyDescent="0.2">
      <c r="B408" s="34"/>
      <c r="C408" s="18" t="s">
        <v>16</v>
      </c>
      <c r="D408" s="19" t="s">
        <v>402</v>
      </c>
      <c r="E408" s="20" t="s">
        <v>17</v>
      </c>
      <c r="F408" s="21" t="s">
        <v>85</v>
      </c>
      <c r="G408" s="22" t="s">
        <v>20</v>
      </c>
      <c r="H408" s="23" t="s">
        <v>114</v>
      </c>
    </row>
    <row r="409" spans="2:8" s="1" customFormat="1" x14ac:dyDescent="0.15">
      <c r="B409" s="13" t="s">
        <v>1</v>
      </c>
      <c r="C409" s="14" t="s">
        <v>0</v>
      </c>
      <c r="D409" s="29" t="s">
        <v>215</v>
      </c>
      <c r="E409" s="30"/>
      <c r="F409" s="31"/>
      <c r="G409" s="15" t="s">
        <v>57</v>
      </c>
      <c r="H409" s="16" t="s">
        <v>124</v>
      </c>
    </row>
    <row r="410" spans="2:8" s="1" customFormat="1" x14ac:dyDescent="0.15">
      <c r="B410" s="32">
        <v>100083</v>
      </c>
      <c r="C410" s="2" t="s">
        <v>2</v>
      </c>
      <c r="D410" s="9">
        <f>ROUND(C12*720,0)</f>
        <v>4622</v>
      </c>
      <c r="E410" s="3" t="s">
        <v>3</v>
      </c>
      <c r="F410" s="11">
        <f>ROUND(C12*720,0)</f>
        <v>4622</v>
      </c>
      <c r="G410" s="4" t="s">
        <v>8</v>
      </c>
      <c r="H410" s="17" t="s">
        <v>403</v>
      </c>
    </row>
    <row r="411" spans="2:8" s="1" customFormat="1" ht="13.5" customHeight="1" x14ac:dyDescent="0.15">
      <c r="B411" s="33"/>
      <c r="C411" s="5" t="s">
        <v>4</v>
      </c>
      <c r="D411" s="9">
        <f>ROUND(C12*880,0)</f>
        <v>5650</v>
      </c>
      <c r="E411" s="6" t="s">
        <v>5</v>
      </c>
      <c r="F411" s="11">
        <f>ROUND(C12*880,0)</f>
        <v>5650</v>
      </c>
      <c r="G411" s="35">
        <v>30</v>
      </c>
      <c r="H411" s="17"/>
    </row>
    <row r="412" spans="2:8" s="1" customFormat="1" ht="13.5" customHeight="1" x14ac:dyDescent="0.15">
      <c r="B412" s="33"/>
      <c r="C412" s="7" t="s">
        <v>6</v>
      </c>
      <c r="D412" s="10">
        <v>5</v>
      </c>
      <c r="E412" s="8" t="s">
        <v>7</v>
      </c>
      <c r="F412" s="12">
        <f>ROUND(C12*530,0)</f>
        <v>3403</v>
      </c>
      <c r="G412" s="36"/>
      <c r="H412" s="17"/>
    </row>
    <row r="413" spans="2:8" s="1" customFormat="1" ht="14.25" thickBot="1" x14ac:dyDescent="0.2">
      <c r="B413" s="34"/>
      <c r="C413" s="18" t="s">
        <v>16</v>
      </c>
      <c r="D413" s="19" t="s">
        <v>419</v>
      </c>
      <c r="E413" s="20" t="s">
        <v>17</v>
      </c>
      <c r="F413" s="21" t="s">
        <v>52</v>
      </c>
      <c r="G413" s="22" t="s">
        <v>20</v>
      </c>
      <c r="H413" s="23" t="s">
        <v>37</v>
      </c>
    </row>
    <row r="414" spans="2:8" s="1" customFormat="1" x14ac:dyDescent="0.15">
      <c r="B414" s="13" t="s">
        <v>1</v>
      </c>
      <c r="C414" s="14" t="s">
        <v>0</v>
      </c>
      <c r="D414" s="29" t="s">
        <v>217</v>
      </c>
      <c r="E414" s="30"/>
      <c r="F414" s="31"/>
      <c r="G414" s="15" t="s">
        <v>57</v>
      </c>
      <c r="H414" s="16" t="s">
        <v>55</v>
      </c>
    </row>
    <row r="415" spans="2:8" s="1" customFormat="1" x14ac:dyDescent="0.15">
      <c r="B415" s="32">
        <v>100084</v>
      </c>
      <c r="C415" s="2" t="s">
        <v>2</v>
      </c>
      <c r="D415" s="9">
        <f>ROUND(C12*720,0)</f>
        <v>4622</v>
      </c>
      <c r="E415" s="3" t="s">
        <v>3</v>
      </c>
      <c r="F415" s="11">
        <f>ROUND(C12*1584,0)</f>
        <v>10169</v>
      </c>
      <c r="G415" s="4" t="s">
        <v>8</v>
      </c>
      <c r="H415" s="17" t="s">
        <v>30</v>
      </c>
    </row>
    <row r="416" spans="2:8" s="1" customFormat="1" ht="13.5" customHeight="1" x14ac:dyDescent="0.15">
      <c r="B416" s="33"/>
      <c r="C416" s="5" t="s">
        <v>4</v>
      </c>
      <c r="D416" s="9">
        <f>ROUND(C12*880,0)</f>
        <v>5650</v>
      </c>
      <c r="E416" s="6" t="s">
        <v>5</v>
      </c>
      <c r="F416" s="11">
        <f>ROUND(C12*1936,0)</f>
        <v>12429</v>
      </c>
      <c r="G416" s="35">
        <v>100</v>
      </c>
      <c r="H416" s="17"/>
    </row>
    <row r="417" spans="2:8" s="1" customFormat="1" ht="13.5" customHeight="1" x14ac:dyDescent="0.15">
      <c r="B417" s="33"/>
      <c r="C417" s="7" t="s">
        <v>6</v>
      </c>
      <c r="D417" s="10">
        <v>3</v>
      </c>
      <c r="E417" s="8" t="s">
        <v>7</v>
      </c>
      <c r="F417" s="12">
        <f>ROUND(C12*530,0)</f>
        <v>3403</v>
      </c>
      <c r="G417" s="36"/>
      <c r="H417" s="17"/>
    </row>
    <row r="418" spans="2:8" s="1" customFormat="1" ht="14.25" thickBot="1" x14ac:dyDescent="0.2">
      <c r="B418" s="34"/>
      <c r="C418" s="18" t="s">
        <v>16</v>
      </c>
      <c r="D418" s="19" t="s">
        <v>404</v>
      </c>
      <c r="E418" s="20" t="s">
        <v>17</v>
      </c>
      <c r="F418" s="21" t="s">
        <v>257</v>
      </c>
      <c r="G418" s="22" t="s">
        <v>20</v>
      </c>
      <c r="H418" s="23" t="s">
        <v>37</v>
      </c>
    </row>
    <row r="419" spans="2:8" s="1" customFormat="1" x14ac:dyDescent="0.15">
      <c r="B419" s="13" t="s">
        <v>1</v>
      </c>
      <c r="C419" s="14" t="s">
        <v>0</v>
      </c>
      <c r="D419" s="29" t="s">
        <v>219</v>
      </c>
      <c r="E419" s="30"/>
      <c r="F419" s="31"/>
      <c r="G419" s="15" t="s">
        <v>57</v>
      </c>
      <c r="H419" s="16" t="s">
        <v>44</v>
      </c>
    </row>
    <row r="420" spans="2:8" s="1" customFormat="1" x14ac:dyDescent="0.15">
      <c r="B420" s="32">
        <v>100085</v>
      </c>
      <c r="C420" s="2" t="s">
        <v>2</v>
      </c>
      <c r="D420" s="9">
        <f>ROUND(C12*815,0)</f>
        <v>5232</v>
      </c>
      <c r="E420" s="3" t="s">
        <v>3</v>
      </c>
      <c r="F420" s="11">
        <f>ROUND(C12*830,0)</f>
        <v>5329</v>
      </c>
      <c r="G420" s="4" t="s">
        <v>8</v>
      </c>
      <c r="H420" s="17" t="s">
        <v>26</v>
      </c>
    </row>
    <row r="421" spans="2:8" s="1" customFormat="1" ht="13.5" customHeight="1" x14ac:dyDescent="0.15">
      <c r="B421" s="33"/>
      <c r="C421" s="5" t="s">
        <v>4</v>
      </c>
      <c r="D421" s="9">
        <f>ROUND(C12*815,0)</f>
        <v>5232</v>
      </c>
      <c r="E421" s="6" t="s">
        <v>5</v>
      </c>
      <c r="F421" s="11">
        <f>ROUND(C12*830,0)</f>
        <v>5329</v>
      </c>
      <c r="G421" s="35">
        <v>100</v>
      </c>
      <c r="H421" s="17"/>
    </row>
    <row r="422" spans="2:8" s="1" customFormat="1" ht="13.5" customHeight="1" x14ac:dyDescent="0.15">
      <c r="B422" s="33"/>
      <c r="C422" s="7" t="s">
        <v>6</v>
      </c>
      <c r="D422" s="10">
        <v>5</v>
      </c>
      <c r="E422" s="8" t="s">
        <v>7</v>
      </c>
      <c r="F422" s="12">
        <f>ROUND(C12*480,0)</f>
        <v>3082</v>
      </c>
      <c r="G422" s="36"/>
      <c r="H422" s="17"/>
    </row>
    <row r="423" spans="2:8" s="1" customFormat="1" ht="14.25" thickBot="1" x14ac:dyDescent="0.2">
      <c r="B423" s="34"/>
      <c r="C423" s="18" t="s">
        <v>16</v>
      </c>
      <c r="D423" s="19" t="s">
        <v>391</v>
      </c>
      <c r="E423" s="20" t="s">
        <v>17</v>
      </c>
      <c r="F423" s="21" t="s">
        <v>392</v>
      </c>
      <c r="G423" s="22" t="s">
        <v>20</v>
      </c>
      <c r="H423" s="23" t="s">
        <v>37</v>
      </c>
    </row>
    <row r="424" spans="2:8" s="1" customFormat="1" x14ac:dyDescent="0.15">
      <c r="B424" s="13" t="s">
        <v>1</v>
      </c>
      <c r="C424" s="14" t="s">
        <v>0</v>
      </c>
      <c r="D424" s="29" t="s">
        <v>221</v>
      </c>
      <c r="E424" s="30"/>
      <c r="F424" s="31"/>
      <c r="G424" s="15" t="s">
        <v>57</v>
      </c>
      <c r="H424" s="16" t="s">
        <v>35</v>
      </c>
    </row>
    <row r="425" spans="2:8" s="1" customFormat="1" x14ac:dyDescent="0.15">
      <c r="B425" s="32">
        <v>100086</v>
      </c>
      <c r="C425" s="2" t="s">
        <v>2</v>
      </c>
      <c r="D425" s="9">
        <f>ROUND(C12*815,0)</f>
        <v>5232</v>
      </c>
      <c r="E425" s="3" t="s">
        <v>3</v>
      </c>
      <c r="F425" s="11">
        <f>ROUND(C12*830,0)</f>
        <v>5329</v>
      </c>
      <c r="G425" s="4" t="s">
        <v>8</v>
      </c>
      <c r="H425" s="17" t="s">
        <v>23</v>
      </c>
    </row>
    <row r="426" spans="2:8" s="1" customFormat="1" ht="13.5" customHeight="1" x14ac:dyDescent="0.15">
      <c r="B426" s="33"/>
      <c r="C426" s="5" t="s">
        <v>4</v>
      </c>
      <c r="D426" s="9">
        <f>ROUND(C12*815,0)</f>
        <v>5232</v>
      </c>
      <c r="E426" s="6" t="s">
        <v>5</v>
      </c>
      <c r="F426" s="11">
        <f>ROUND(C12*830,0)</f>
        <v>5329</v>
      </c>
      <c r="G426" s="35">
        <v>100</v>
      </c>
      <c r="H426" s="17"/>
    </row>
    <row r="427" spans="2:8" s="1" customFormat="1" ht="13.5" customHeight="1" x14ac:dyDescent="0.15">
      <c r="B427" s="33"/>
      <c r="C427" s="7" t="s">
        <v>6</v>
      </c>
      <c r="D427" s="10">
        <v>5</v>
      </c>
      <c r="E427" s="8" t="s">
        <v>7</v>
      </c>
      <c r="F427" s="12">
        <f>ROUND(C12*480,0)</f>
        <v>3082</v>
      </c>
      <c r="G427" s="36"/>
      <c r="H427" s="17"/>
    </row>
    <row r="428" spans="2:8" s="1" customFormat="1" ht="14.25" thickBot="1" x14ac:dyDescent="0.2">
      <c r="B428" s="34"/>
      <c r="C428" s="18" t="s">
        <v>16</v>
      </c>
      <c r="D428" s="19" t="s">
        <v>389</v>
      </c>
      <c r="E428" s="20" t="s">
        <v>17</v>
      </c>
      <c r="F428" s="21" t="s">
        <v>33</v>
      </c>
      <c r="G428" s="22" t="s">
        <v>20</v>
      </c>
      <c r="H428" s="23" t="s">
        <v>37</v>
      </c>
    </row>
    <row r="429" spans="2:8" s="1" customFormat="1" x14ac:dyDescent="0.15">
      <c r="B429" s="13" t="s">
        <v>1</v>
      </c>
      <c r="C429" s="14" t="s">
        <v>0</v>
      </c>
      <c r="D429" s="29" t="s">
        <v>222</v>
      </c>
      <c r="E429" s="30"/>
      <c r="F429" s="31"/>
      <c r="G429" s="15" t="s">
        <v>57</v>
      </c>
      <c r="H429" s="16" t="s">
        <v>41</v>
      </c>
    </row>
    <row r="430" spans="2:8" s="1" customFormat="1" x14ac:dyDescent="0.15">
      <c r="B430" s="32">
        <v>100087</v>
      </c>
      <c r="C430" s="2" t="s">
        <v>2</v>
      </c>
      <c r="D430" s="9">
        <f>ROUND(C12*720,0)</f>
        <v>4622</v>
      </c>
      <c r="E430" s="3" t="s">
        <v>3</v>
      </c>
      <c r="F430" s="11">
        <f>ROUND(C12*1584,0)</f>
        <v>10169</v>
      </c>
      <c r="G430" s="4" t="s">
        <v>8</v>
      </c>
      <c r="H430" s="17" t="s">
        <v>25</v>
      </c>
    </row>
    <row r="431" spans="2:8" s="1" customFormat="1" ht="13.5" customHeight="1" x14ac:dyDescent="0.15">
      <c r="B431" s="33"/>
      <c r="C431" s="5" t="s">
        <v>4</v>
      </c>
      <c r="D431" s="9">
        <f>ROUND(C12*880,0)</f>
        <v>5650</v>
      </c>
      <c r="E431" s="6" t="s">
        <v>5</v>
      </c>
      <c r="F431" s="11">
        <f>ROUND(C12*1936,0)</f>
        <v>12429</v>
      </c>
      <c r="G431" s="35">
        <v>100</v>
      </c>
      <c r="H431" s="17"/>
    </row>
    <row r="432" spans="2:8" s="1" customFormat="1" ht="13.5" customHeight="1" x14ac:dyDescent="0.15">
      <c r="B432" s="33"/>
      <c r="C432" s="7" t="s">
        <v>6</v>
      </c>
      <c r="D432" s="10">
        <v>3</v>
      </c>
      <c r="E432" s="8" t="s">
        <v>7</v>
      </c>
      <c r="F432" s="12">
        <f>ROUND(C12*530,0)</f>
        <v>3403</v>
      </c>
      <c r="G432" s="36"/>
      <c r="H432" s="17"/>
    </row>
    <row r="433" spans="2:8" s="1" customFormat="1" ht="14.25" thickBot="1" x14ac:dyDescent="0.2">
      <c r="B433" s="34"/>
      <c r="C433" s="18" t="s">
        <v>16</v>
      </c>
      <c r="D433" s="19" t="s">
        <v>420</v>
      </c>
      <c r="E433" s="20" t="s">
        <v>17</v>
      </c>
      <c r="F433" s="21" t="s">
        <v>93</v>
      </c>
      <c r="G433" s="22" t="s">
        <v>20</v>
      </c>
      <c r="H433" s="23" t="s">
        <v>37</v>
      </c>
    </row>
    <row r="434" spans="2:8" s="1" customFormat="1" x14ac:dyDescent="0.15">
      <c r="B434" s="13" t="s">
        <v>1</v>
      </c>
      <c r="C434" s="14" t="s">
        <v>0</v>
      </c>
      <c r="D434" s="29" t="s">
        <v>223</v>
      </c>
      <c r="E434" s="30"/>
      <c r="F434" s="31"/>
      <c r="G434" s="15" t="s">
        <v>57</v>
      </c>
      <c r="H434" s="16" t="s">
        <v>44</v>
      </c>
    </row>
    <row r="435" spans="2:8" s="1" customFormat="1" x14ac:dyDescent="0.15">
      <c r="B435" s="32">
        <v>100088</v>
      </c>
      <c r="C435" s="2" t="s">
        <v>2</v>
      </c>
      <c r="D435" s="9">
        <f>ROUND(C12*720,0)</f>
        <v>4622</v>
      </c>
      <c r="E435" s="3" t="s">
        <v>3</v>
      </c>
      <c r="F435" s="11">
        <f>ROUND(C12*720,0)</f>
        <v>4622</v>
      </c>
      <c r="G435" s="4" t="s">
        <v>8</v>
      </c>
      <c r="H435" s="17" t="s">
        <v>26</v>
      </c>
    </row>
    <row r="436" spans="2:8" s="1" customFormat="1" ht="13.5" customHeight="1" x14ac:dyDescent="0.15">
      <c r="B436" s="33"/>
      <c r="C436" s="5" t="s">
        <v>4</v>
      </c>
      <c r="D436" s="9">
        <f>ROUND(C12*880,0)</f>
        <v>5650</v>
      </c>
      <c r="E436" s="6" t="s">
        <v>5</v>
      </c>
      <c r="F436" s="11">
        <f>ROUND(C12*880,0)</f>
        <v>5650</v>
      </c>
      <c r="G436" s="35">
        <v>100</v>
      </c>
      <c r="H436" s="17"/>
    </row>
    <row r="437" spans="2:8" s="1" customFormat="1" ht="13.5" customHeight="1" x14ac:dyDescent="0.15">
      <c r="B437" s="33"/>
      <c r="C437" s="7" t="s">
        <v>6</v>
      </c>
      <c r="D437" s="10">
        <v>5</v>
      </c>
      <c r="E437" s="8" t="s">
        <v>7</v>
      </c>
      <c r="F437" s="12">
        <f>ROUND(C12*370,0)</f>
        <v>2375</v>
      </c>
      <c r="G437" s="36"/>
      <c r="H437" s="17"/>
    </row>
    <row r="438" spans="2:8" s="1" customFormat="1" ht="14.25" thickBot="1" x14ac:dyDescent="0.2">
      <c r="B438" s="34"/>
      <c r="C438" s="18" t="s">
        <v>16</v>
      </c>
      <c r="D438" s="19" t="s">
        <v>382</v>
      </c>
      <c r="E438" s="20" t="s">
        <v>17</v>
      </c>
      <c r="F438" s="21" t="s">
        <v>421</v>
      </c>
      <c r="G438" s="22" t="s">
        <v>20</v>
      </c>
      <c r="H438" s="23" t="s">
        <v>37</v>
      </c>
    </row>
    <row r="439" spans="2:8" s="1" customFormat="1" x14ac:dyDescent="0.15">
      <c r="B439" s="13" t="s">
        <v>1</v>
      </c>
      <c r="C439" s="14" t="s">
        <v>0</v>
      </c>
      <c r="D439" s="29" t="s">
        <v>224</v>
      </c>
      <c r="E439" s="30"/>
      <c r="F439" s="31"/>
      <c r="G439" s="15" t="s">
        <v>57</v>
      </c>
      <c r="H439" s="16" t="s">
        <v>46</v>
      </c>
    </row>
    <row r="440" spans="2:8" s="1" customFormat="1" x14ac:dyDescent="0.15">
      <c r="B440" s="32">
        <v>100089</v>
      </c>
      <c r="C440" s="2" t="s">
        <v>2</v>
      </c>
      <c r="D440" s="9">
        <f>ROUND(C12*720,0)</f>
        <v>4622</v>
      </c>
      <c r="E440" s="3" t="s">
        <v>3</v>
      </c>
      <c r="F440" s="11">
        <f>ROUND(C12*1584,0)</f>
        <v>10169</v>
      </c>
      <c r="G440" s="4" t="s">
        <v>8</v>
      </c>
      <c r="H440" s="17" t="s">
        <v>27</v>
      </c>
    </row>
    <row r="441" spans="2:8" s="1" customFormat="1" ht="13.5" customHeight="1" x14ac:dyDescent="0.15">
      <c r="B441" s="33"/>
      <c r="C441" s="5" t="s">
        <v>4</v>
      </c>
      <c r="D441" s="9">
        <f>ROUND(C12*880,0)</f>
        <v>5650</v>
      </c>
      <c r="E441" s="6" t="s">
        <v>5</v>
      </c>
      <c r="F441" s="11">
        <f>ROUND(C12*1936,0)</f>
        <v>12429</v>
      </c>
      <c r="G441" s="35">
        <v>100</v>
      </c>
      <c r="H441" s="17"/>
    </row>
    <row r="442" spans="2:8" s="1" customFormat="1" ht="13.5" customHeight="1" x14ac:dyDescent="0.15">
      <c r="B442" s="33"/>
      <c r="C442" s="7" t="s">
        <v>6</v>
      </c>
      <c r="D442" s="10">
        <v>3</v>
      </c>
      <c r="E442" s="8" t="s">
        <v>7</v>
      </c>
      <c r="F442" s="12">
        <f>ROUND(C12*480,0)</f>
        <v>3082</v>
      </c>
      <c r="G442" s="36"/>
      <c r="H442" s="17"/>
    </row>
    <row r="443" spans="2:8" s="1" customFormat="1" ht="14.25" thickBot="1" x14ac:dyDescent="0.2">
      <c r="B443" s="34"/>
      <c r="C443" s="18" t="s">
        <v>16</v>
      </c>
      <c r="D443" s="19" t="s">
        <v>422</v>
      </c>
      <c r="E443" s="20" t="s">
        <v>17</v>
      </c>
      <c r="F443" s="21" t="s">
        <v>257</v>
      </c>
      <c r="G443" s="22" t="s">
        <v>20</v>
      </c>
      <c r="H443" s="23" t="s">
        <v>37</v>
      </c>
    </row>
    <row r="444" spans="2:8" s="1" customFormat="1" x14ac:dyDescent="0.15">
      <c r="B444" s="13" t="s">
        <v>1</v>
      </c>
      <c r="C444" s="14" t="s">
        <v>0</v>
      </c>
      <c r="D444" s="29" t="s">
        <v>225</v>
      </c>
      <c r="E444" s="30"/>
      <c r="F444" s="31"/>
      <c r="G444" s="15" t="s">
        <v>57</v>
      </c>
      <c r="H444" s="16" t="s">
        <v>31</v>
      </c>
    </row>
    <row r="445" spans="2:8" s="1" customFormat="1" x14ac:dyDescent="0.15">
      <c r="B445" s="32">
        <v>100090</v>
      </c>
      <c r="C445" s="2" t="s">
        <v>2</v>
      </c>
      <c r="D445" s="9">
        <f>ROUND(C12*815,0)</f>
        <v>5232</v>
      </c>
      <c r="E445" s="3" t="s">
        <v>3</v>
      </c>
      <c r="F445" s="11">
        <f>ROUND(C12*830,0)</f>
        <v>5329</v>
      </c>
      <c r="G445" s="4" t="s">
        <v>8</v>
      </c>
      <c r="H445" s="17" t="s">
        <v>22</v>
      </c>
    </row>
    <row r="446" spans="2:8" s="1" customFormat="1" ht="13.5" customHeight="1" x14ac:dyDescent="0.15">
      <c r="B446" s="33"/>
      <c r="C446" s="5" t="s">
        <v>4</v>
      </c>
      <c r="D446" s="9">
        <f>ROUND(C12*815,0)</f>
        <v>5232</v>
      </c>
      <c r="E446" s="6" t="s">
        <v>5</v>
      </c>
      <c r="F446" s="11">
        <f>ROUND(C12*830,0)</f>
        <v>5329</v>
      </c>
      <c r="G446" s="35">
        <v>50</v>
      </c>
      <c r="H446" s="17"/>
    </row>
    <row r="447" spans="2:8" s="1" customFormat="1" ht="13.5" customHeight="1" x14ac:dyDescent="0.15">
      <c r="B447" s="33"/>
      <c r="C447" s="7" t="s">
        <v>6</v>
      </c>
      <c r="D447" s="10">
        <v>5</v>
      </c>
      <c r="E447" s="8" t="s">
        <v>7</v>
      </c>
      <c r="F447" s="12">
        <f>ROUND(C12*530,0)</f>
        <v>3403</v>
      </c>
      <c r="G447" s="36"/>
      <c r="H447" s="17"/>
    </row>
    <row r="448" spans="2:8" s="1" customFormat="1" ht="14.25" thickBot="1" x14ac:dyDescent="0.2">
      <c r="B448" s="34"/>
      <c r="C448" s="18" t="s">
        <v>16</v>
      </c>
      <c r="D448" s="19" t="s">
        <v>220</v>
      </c>
      <c r="E448" s="20" t="s">
        <v>17</v>
      </c>
      <c r="F448" s="21" t="s">
        <v>85</v>
      </c>
      <c r="G448" s="22" t="s">
        <v>20</v>
      </c>
      <c r="H448" s="23" t="s">
        <v>34</v>
      </c>
    </row>
    <row r="449" spans="2:8" s="1" customFormat="1" x14ac:dyDescent="0.15">
      <c r="B449" s="13" t="s">
        <v>1</v>
      </c>
      <c r="C449" s="14" t="s">
        <v>0</v>
      </c>
      <c r="D449" s="29" t="s">
        <v>226</v>
      </c>
      <c r="E449" s="30"/>
      <c r="F449" s="31"/>
      <c r="G449" s="15" t="s">
        <v>57</v>
      </c>
      <c r="H449" s="16" t="s">
        <v>55</v>
      </c>
    </row>
    <row r="450" spans="2:8" s="1" customFormat="1" x14ac:dyDescent="0.15">
      <c r="B450" s="32">
        <v>100091</v>
      </c>
      <c r="C450" s="2" t="s">
        <v>2</v>
      </c>
      <c r="D450" s="9">
        <f>ROUND(C12*815,0)</f>
        <v>5232</v>
      </c>
      <c r="E450" s="3" t="s">
        <v>3</v>
      </c>
      <c r="F450" s="11">
        <f>ROUND(C12*830,0)</f>
        <v>5329</v>
      </c>
      <c r="G450" s="4" t="s">
        <v>8</v>
      </c>
      <c r="H450" s="17" t="s">
        <v>30</v>
      </c>
    </row>
    <row r="451" spans="2:8" s="1" customFormat="1" ht="13.5" customHeight="1" x14ac:dyDescent="0.15">
      <c r="B451" s="33"/>
      <c r="C451" s="5" t="s">
        <v>4</v>
      </c>
      <c r="D451" s="9">
        <f>ROUND(C12*815,0)</f>
        <v>5232</v>
      </c>
      <c r="E451" s="6" t="s">
        <v>5</v>
      </c>
      <c r="F451" s="11">
        <f>ROUND(C12*830,0)</f>
        <v>5329</v>
      </c>
      <c r="G451" s="35">
        <v>100</v>
      </c>
      <c r="H451" s="17"/>
    </row>
    <row r="452" spans="2:8" s="1" customFormat="1" ht="13.5" customHeight="1" x14ac:dyDescent="0.15">
      <c r="B452" s="33"/>
      <c r="C452" s="7" t="s">
        <v>6</v>
      </c>
      <c r="D452" s="10">
        <v>5</v>
      </c>
      <c r="E452" s="8" t="s">
        <v>7</v>
      </c>
      <c r="F452" s="12">
        <f>ROUND(C12*370,0)</f>
        <v>2375</v>
      </c>
      <c r="G452" s="36"/>
      <c r="H452" s="17"/>
    </row>
    <row r="453" spans="2:8" s="1" customFormat="1" ht="14.25" thickBot="1" x14ac:dyDescent="0.2">
      <c r="B453" s="34"/>
      <c r="C453" s="18" t="s">
        <v>16</v>
      </c>
      <c r="D453" s="19" t="s">
        <v>40</v>
      </c>
      <c r="E453" s="20" t="s">
        <v>17</v>
      </c>
      <c r="F453" s="21" t="s">
        <v>93</v>
      </c>
      <c r="G453" s="22" t="s">
        <v>20</v>
      </c>
      <c r="H453" s="23" t="s">
        <v>37</v>
      </c>
    </row>
    <row r="454" spans="2:8" s="1" customFormat="1" x14ac:dyDescent="0.15">
      <c r="B454" s="13" t="s">
        <v>1</v>
      </c>
      <c r="C454" s="14" t="s">
        <v>0</v>
      </c>
      <c r="D454" s="29" t="s">
        <v>227</v>
      </c>
      <c r="E454" s="30"/>
      <c r="F454" s="31"/>
      <c r="G454" s="15" t="s">
        <v>57</v>
      </c>
      <c r="H454" s="16" t="s">
        <v>80</v>
      </c>
    </row>
    <row r="455" spans="2:8" s="1" customFormat="1" x14ac:dyDescent="0.15">
      <c r="B455" s="32">
        <v>100092</v>
      </c>
      <c r="C455" s="2" t="s">
        <v>2</v>
      </c>
      <c r="D455" s="9">
        <f>ROUND(C12*720,0)</f>
        <v>4622</v>
      </c>
      <c r="E455" s="3" t="s">
        <v>3</v>
      </c>
      <c r="F455" s="11">
        <f>ROUND(C12*1584,0)</f>
        <v>10169</v>
      </c>
      <c r="G455" s="4" t="s">
        <v>8</v>
      </c>
      <c r="H455" s="17" t="s">
        <v>81</v>
      </c>
    </row>
    <row r="456" spans="2:8" s="1" customFormat="1" ht="13.5" customHeight="1" x14ac:dyDescent="0.15">
      <c r="B456" s="33"/>
      <c r="C456" s="5" t="s">
        <v>4</v>
      </c>
      <c r="D456" s="9">
        <f>ROUND(C12*880,0)</f>
        <v>5650</v>
      </c>
      <c r="E456" s="6" t="s">
        <v>5</v>
      </c>
      <c r="F456" s="11">
        <f>ROUND(C12*1936,0)</f>
        <v>12429</v>
      </c>
      <c r="G456" s="35">
        <v>100</v>
      </c>
      <c r="H456" s="17"/>
    </row>
    <row r="457" spans="2:8" s="1" customFormat="1" ht="13.5" customHeight="1" x14ac:dyDescent="0.15">
      <c r="B457" s="33"/>
      <c r="C457" s="7" t="s">
        <v>6</v>
      </c>
      <c r="D457" s="10">
        <v>3</v>
      </c>
      <c r="E457" s="8" t="s">
        <v>7</v>
      </c>
      <c r="F457" s="12">
        <f>ROUND(C12*480,0)</f>
        <v>3082</v>
      </c>
      <c r="G457" s="36"/>
      <c r="H457" s="17"/>
    </row>
    <row r="458" spans="2:8" s="1" customFormat="1" ht="14.25" thickBot="1" x14ac:dyDescent="0.2">
      <c r="B458" s="34"/>
      <c r="C458" s="18" t="s">
        <v>16</v>
      </c>
      <c r="D458" s="19" t="s">
        <v>393</v>
      </c>
      <c r="E458" s="20" t="s">
        <v>17</v>
      </c>
      <c r="F458" s="21" t="s">
        <v>218</v>
      </c>
      <c r="G458" s="22" t="s">
        <v>20</v>
      </c>
      <c r="H458" s="23" t="s">
        <v>37</v>
      </c>
    </row>
    <row r="459" spans="2:8" s="1" customFormat="1" x14ac:dyDescent="0.15">
      <c r="B459" s="13" t="s">
        <v>1</v>
      </c>
      <c r="C459" s="14" t="s">
        <v>0</v>
      </c>
      <c r="D459" s="29" t="s">
        <v>228</v>
      </c>
      <c r="E459" s="30"/>
      <c r="F459" s="31"/>
      <c r="G459" s="15" t="s">
        <v>57</v>
      </c>
      <c r="H459" s="16" t="s">
        <v>74</v>
      </c>
    </row>
    <row r="460" spans="2:8" s="1" customFormat="1" x14ac:dyDescent="0.15">
      <c r="B460" s="32">
        <v>100093</v>
      </c>
      <c r="C460" s="2" t="s">
        <v>2</v>
      </c>
      <c r="D460" s="9">
        <f>ROUND(C12*720,0)</f>
        <v>4622</v>
      </c>
      <c r="E460" s="3" t="s">
        <v>3</v>
      </c>
      <c r="F460" s="11">
        <f>ROUND(C12*720,0)</f>
        <v>4622</v>
      </c>
      <c r="G460" s="4" t="s">
        <v>8</v>
      </c>
      <c r="H460" s="17" t="s">
        <v>75</v>
      </c>
    </row>
    <row r="461" spans="2:8" s="1" customFormat="1" ht="13.5" customHeight="1" x14ac:dyDescent="0.15">
      <c r="B461" s="33"/>
      <c r="C461" s="5" t="s">
        <v>4</v>
      </c>
      <c r="D461" s="9">
        <f>ROUND(C12*880,0)</f>
        <v>5650</v>
      </c>
      <c r="E461" s="6" t="s">
        <v>5</v>
      </c>
      <c r="F461" s="11">
        <f>ROUND(C12*880,0)</f>
        <v>5650</v>
      </c>
      <c r="G461" s="35">
        <v>100</v>
      </c>
      <c r="H461" s="17"/>
    </row>
    <row r="462" spans="2:8" s="1" customFormat="1" ht="13.5" customHeight="1" x14ac:dyDescent="0.15">
      <c r="B462" s="33"/>
      <c r="C462" s="7" t="s">
        <v>6</v>
      </c>
      <c r="D462" s="10">
        <v>5</v>
      </c>
      <c r="E462" s="8" t="s">
        <v>7</v>
      </c>
      <c r="F462" s="12">
        <f>ROUND(C12*530,0)</f>
        <v>3403</v>
      </c>
      <c r="G462" s="36"/>
      <c r="H462" s="17"/>
    </row>
    <row r="463" spans="2:8" s="1" customFormat="1" ht="14.25" thickBot="1" x14ac:dyDescent="0.2">
      <c r="B463" s="34"/>
      <c r="C463" s="18" t="s">
        <v>16</v>
      </c>
      <c r="D463" s="19" t="s">
        <v>423</v>
      </c>
      <c r="E463" s="20" t="s">
        <v>17</v>
      </c>
      <c r="F463" s="21" t="s">
        <v>33</v>
      </c>
      <c r="G463" s="22" t="s">
        <v>20</v>
      </c>
      <c r="H463" s="23" t="s">
        <v>37</v>
      </c>
    </row>
    <row r="464" spans="2:8" s="1" customFormat="1" x14ac:dyDescent="0.15">
      <c r="B464" s="13" t="s">
        <v>1</v>
      </c>
      <c r="C464" s="14" t="s">
        <v>0</v>
      </c>
      <c r="D464" s="29" t="s">
        <v>229</v>
      </c>
      <c r="E464" s="30"/>
      <c r="F464" s="31"/>
      <c r="G464" s="15" t="s">
        <v>57</v>
      </c>
      <c r="H464" s="16" t="s">
        <v>77</v>
      </c>
    </row>
    <row r="465" spans="2:8" s="1" customFormat="1" x14ac:dyDescent="0.15">
      <c r="B465" s="32">
        <v>100094</v>
      </c>
      <c r="C465" s="2" t="s">
        <v>2</v>
      </c>
      <c r="D465" s="9">
        <f>ROUND(C12*720,0)</f>
        <v>4622</v>
      </c>
      <c r="E465" s="3" t="s">
        <v>3</v>
      </c>
      <c r="F465" s="11">
        <f>ROUND(C12*1584,0)</f>
        <v>10169</v>
      </c>
      <c r="G465" s="4" t="s">
        <v>8</v>
      </c>
      <c r="H465" s="17" t="s">
        <v>78</v>
      </c>
    </row>
    <row r="466" spans="2:8" s="1" customFormat="1" ht="13.5" customHeight="1" x14ac:dyDescent="0.15">
      <c r="B466" s="33"/>
      <c r="C466" s="5" t="s">
        <v>4</v>
      </c>
      <c r="D466" s="9">
        <f>ROUND(C12*880,0)</f>
        <v>5650</v>
      </c>
      <c r="E466" s="6" t="s">
        <v>5</v>
      </c>
      <c r="F466" s="11">
        <f>ROUND(C12*1936,0)</f>
        <v>12429</v>
      </c>
      <c r="G466" s="35">
        <v>100</v>
      </c>
      <c r="H466" s="17"/>
    </row>
    <row r="467" spans="2:8" s="1" customFormat="1" ht="13.5" customHeight="1" x14ac:dyDescent="0.15">
      <c r="B467" s="33"/>
      <c r="C467" s="7" t="s">
        <v>6</v>
      </c>
      <c r="D467" s="10">
        <v>3</v>
      </c>
      <c r="E467" s="8" t="s">
        <v>7</v>
      </c>
      <c r="F467" s="12">
        <f>ROUND(C12*370,0)</f>
        <v>2375</v>
      </c>
      <c r="G467" s="36"/>
      <c r="H467" s="17"/>
    </row>
    <row r="468" spans="2:8" s="1" customFormat="1" ht="14.25" thickBot="1" x14ac:dyDescent="0.2">
      <c r="B468" s="34"/>
      <c r="C468" s="18" t="s">
        <v>16</v>
      </c>
      <c r="D468" s="19" t="s">
        <v>216</v>
      </c>
      <c r="E468" s="20" t="s">
        <v>17</v>
      </c>
      <c r="F468" s="21" t="s">
        <v>294</v>
      </c>
      <c r="G468" s="22" t="s">
        <v>20</v>
      </c>
      <c r="H468" s="23" t="s">
        <v>37</v>
      </c>
    </row>
    <row r="469" spans="2:8" s="1" customFormat="1" x14ac:dyDescent="0.15">
      <c r="B469" s="13" t="s">
        <v>1</v>
      </c>
      <c r="C469" s="14" t="s">
        <v>0</v>
      </c>
      <c r="D469" s="29" t="s">
        <v>230</v>
      </c>
      <c r="E469" s="30"/>
      <c r="F469" s="31"/>
      <c r="G469" s="15" t="s">
        <v>57</v>
      </c>
      <c r="H469" s="16" t="s">
        <v>38</v>
      </c>
    </row>
    <row r="470" spans="2:8" s="1" customFormat="1" x14ac:dyDescent="0.15">
      <c r="B470" s="32">
        <v>100095</v>
      </c>
      <c r="C470" s="2" t="s">
        <v>2</v>
      </c>
      <c r="D470" s="9">
        <f>ROUND(C12*815,0)</f>
        <v>5232</v>
      </c>
      <c r="E470" s="3" t="s">
        <v>3</v>
      </c>
      <c r="F470" s="11">
        <f>ROUND(C12*830,0)</f>
        <v>5329</v>
      </c>
      <c r="G470" s="4" t="s">
        <v>8</v>
      </c>
      <c r="H470" s="17" t="s">
        <v>24</v>
      </c>
    </row>
    <row r="471" spans="2:8" s="1" customFormat="1" ht="13.5" customHeight="1" x14ac:dyDescent="0.15">
      <c r="B471" s="33"/>
      <c r="C471" s="5" t="s">
        <v>4</v>
      </c>
      <c r="D471" s="9">
        <f>ROUND(C12*815,0)</f>
        <v>5232</v>
      </c>
      <c r="E471" s="6" t="s">
        <v>5</v>
      </c>
      <c r="F471" s="11">
        <f>ROUND(C12*830,0)</f>
        <v>5329</v>
      </c>
      <c r="G471" s="35">
        <v>50</v>
      </c>
      <c r="H471" s="17"/>
    </row>
    <row r="472" spans="2:8" s="1" customFormat="1" ht="13.5" customHeight="1" x14ac:dyDescent="0.15">
      <c r="B472" s="33"/>
      <c r="C472" s="7" t="s">
        <v>6</v>
      </c>
      <c r="D472" s="10">
        <v>5</v>
      </c>
      <c r="E472" s="8" t="s">
        <v>7</v>
      </c>
      <c r="F472" s="12">
        <f>ROUND(C12*480,0)</f>
        <v>3082</v>
      </c>
      <c r="G472" s="36"/>
      <c r="H472" s="17"/>
    </row>
    <row r="473" spans="2:8" s="1" customFormat="1" ht="14.25" thickBot="1" x14ac:dyDescent="0.2">
      <c r="B473" s="34"/>
      <c r="C473" s="18" t="s">
        <v>16</v>
      </c>
      <c r="D473" s="19" t="s">
        <v>419</v>
      </c>
      <c r="E473" s="20" t="s">
        <v>17</v>
      </c>
      <c r="F473" s="21" t="s">
        <v>52</v>
      </c>
      <c r="G473" s="22" t="s">
        <v>20</v>
      </c>
      <c r="H473" s="23" t="s">
        <v>37</v>
      </c>
    </row>
    <row r="474" spans="2:8" s="1" customFormat="1" x14ac:dyDescent="0.15">
      <c r="B474" s="13" t="s">
        <v>1</v>
      </c>
      <c r="C474" s="14" t="s">
        <v>0</v>
      </c>
      <c r="D474" s="29" t="s">
        <v>231</v>
      </c>
      <c r="E474" s="30"/>
      <c r="F474" s="31"/>
      <c r="G474" s="15" t="s">
        <v>57</v>
      </c>
      <c r="H474" s="16" t="s">
        <v>35</v>
      </c>
    </row>
    <row r="475" spans="2:8" s="1" customFormat="1" x14ac:dyDescent="0.15">
      <c r="B475" s="32">
        <v>100096</v>
      </c>
      <c r="C475" s="2" t="s">
        <v>2</v>
      </c>
      <c r="D475" s="9">
        <f>ROUND(C12*815,0)</f>
        <v>5232</v>
      </c>
      <c r="E475" s="3" t="s">
        <v>3</v>
      </c>
      <c r="F475" s="11">
        <f>ROUND(C12*830,0)</f>
        <v>5329</v>
      </c>
      <c r="G475" s="4" t="s">
        <v>8</v>
      </c>
      <c r="H475" s="17" t="s">
        <v>23</v>
      </c>
    </row>
    <row r="476" spans="2:8" s="1" customFormat="1" ht="13.5" customHeight="1" x14ac:dyDescent="0.15">
      <c r="B476" s="33"/>
      <c r="C476" s="5" t="s">
        <v>4</v>
      </c>
      <c r="D476" s="9">
        <f>ROUND(C12*815,0)</f>
        <v>5232</v>
      </c>
      <c r="E476" s="6" t="s">
        <v>5</v>
      </c>
      <c r="F476" s="11">
        <f>ROUND(C12*830,0)</f>
        <v>5329</v>
      </c>
      <c r="G476" s="35">
        <v>100</v>
      </c>
      <c r="H476" s="17"/>
    </row>
    <row r="477" spans="2:8" s="1" customFormat="1" ht="13.5" customHeight="1" x14ac:dyDescent="0.15">
      <c r="B477" s="33"/>
      <c r="C477" s="7" t="s">
        <v>6</v>
      </c>
      <c r="D477" s="10">
        <v>5</v>
      </c>
      <c r="E477" s="8" t="s">
        <v>7</v>
      </c>
      <c r="F477" s="12">
        <f>ROUND(C12*530,0)</f>
        <v>3403</v>
      </c>
      <c r="G477" s="36"/>
      <c r="H477" s="17"/>
    </row>
    <row r="478" spans="2:8" s="1" customFormat="1" ht="14.25" thickBot="1" x14ac:dyDescent="0.2">
      <c r="B478" s="34"/>
      <c r="C478" s="18" t="s">
        <v>16</v>
      </c>
      <c r="D478" s="19" t="s">
        <v>420</v>
      </c>
      <c r="E478" s="20" t="s">
        <v>17</v>
      </c>
      <c r="F478" s="21" t="s">
        <v>51</v>
      </c>
      <c r="G478" s="22" t="s">
        <v>20</v>
      </c>
      <c r="H478" s="23" t="s">
        <v>37</v>
      </c>
    </row>
    <row r="479" spans="2:8" s="1" customFormat="1" x14ac:dyDescent="0.15">
      <c r="B479" s="13" t="s">
        <v>1</v>
      </c>
      <c r="C479" s="14" t="s">
        <v>0</v>
      </c>
      <c r="D479" s="29" t="s">
        <v>232</v>
      </c>
      <c r="E479" s="30"/>
      <c r="F479" s="31"/>
      <c r="G479" s="15" t="s">
        <v>57</v>
      </c>
      <c r="H479" s="16" t="s">
        <v>41</v>
      </c>
    </row>
    <row r="480" spans="2:8" s="1" customFormat="1" x14ac:dyDescent="0.15">
      <c r="B480" s="32">
        <v>100097</v>
      </c>
      <c r="C480" s="2" t="s">
        <v>2</v>
      </c>
      <c r="D480" s="9">
        <f>ROUND(C12*720,0)</f>
        <v>4622</v>
      </c>
      <c r="E480" s="3" t="s">
        <v>3</v>
      </c>
      <c r="F480" s="11">
        <f>ROUND(C12*1584,0)</f>
        <v>10169</v>
      </c>
      <c r="G480" s="4" t="s">
        <v>8</v>
      </c>
      <c r="H480" s="17" t="s">
        <v>25</v>
      </c>
    </row>
    <row r="481" spans="2:8" s="1" customFormat="1" ht="13.5" customHeight="1" x14ac:dyDescent="0.15">
      <c r="B481" s="33"/>
      <c r="C481" s="5" t="s">
        <v>4</v>
      </c>
      <c r="D481" s="9">
        <f>ROUND(C12*880,0)</f>
        <v>5650</v>
      </c>
      <c r="E481" s="6" t="s">
        <v>5</v>
      </c>
      <c r="F481" s="11">
        <f>ROUND(C12*1936,0)</f>
        <v>12429</v>
      </c>
      <c r="G481" s="35">
        <v>100</v>
      </c>
      <c r="H481" s="17"/>
    </row>
    <row r="482" spans="2:8" s="1" customFormat="1" ht="13.5" customHeight="1" x14ac:dyDescent="0.15">
      <c r="B482" s="33"/>
      <c r="C482" s="7" t="s">
        <v>6</v>
      </c>
      <c r="D482" s="10">
        <v>3</v>
      </c>
      <c r="E482" s="8" t="s">
        <v>7</v>
      </c>
      <c r="F482" s="12">
        <f>ROUND(C12*370,0)</f>
        <v>2375</v>
      </c>
      <c r="G482" s="36"/>
      <c r="H482" s="17"/>
    </row>
    <row r="483" spans="2:8" s="1" customFormat="1" ht="14.25" thickBot="1" x14ac:dyDescent="0.2">
      <c r="B483" s="34"/>
      <c r="C483" s="18" t="s">
        <v>16</v>
      </c>
      <c r="D483" s="19" t="s">
        <v>415</v>
      </c>
      <c r="E483" s="20" t="s">
        <v>17</v>
      </c>
      <c r="F483" s="21" t="s">
        <v>293</v>
      </c>
      <c r="G483" s="22" t="s">
        <v>20</v>
      </c>
      <c r="H483" s="23" t="s">
        <v>37</v>
      </c>
    </row>
    <row r="484" spans="2:8" s="1" customFormat="1" x14ac:dyDescent="0.15">
      <c r="B484" s="13" t="s">
        <v>1</v>
      </c>
      <c r="C484" s="14" t="s">
        <v>0</v>
      </c>
      <c r="D484" s="29" t="s">
        <v>233</v>
      </c>
      <c r="E484" s="30"/>
      <c r="F484" s="31"/>
      <c r="G484" s="15" t="s">
        <v>57</v>
      </c>
      <c r="H484" s="16" t="s">
        <v>91</v>
      </c>
    </row>
    <row r="485" spans="2:8" s="1" customFormat="1" x14ac:dyDescent="0.15">
      <c r="B485" s="32">
        <v>100098</v>
      </c>
      <c r="C485" s="2" t="s">
        <v>2</v>
      </c>
      <c r="D485" s="9">
        <f>ROUND(C12*720,0)</f>
        <v>4622</v>
      </c>
      <c r="E485" s="3" t="s">
        <v>3</v>
      </c>
      <c r="F485" s="11">
        <f>ROUND(C12*720,0)</f>
        <v>4622</v>
      </c>
      <c r="G485" s="4" t="s">
        <v>8</v>
      </c>
      <c r="H485" s="17" t="s">
        <v>92</v>
      </c>
    </row>
    <row r="486" spans="2:8" s="1" customFormat="1" ht="13.5" customHeight="1" x14ac:dyDescent="0.15">
      <c r="B486" s="33"/>
      <c r="C486" s="5" t="s">
        <v>4</v>
      </c>
      <c r="D486" s="9">
        <f>ROUND(C12*880,0)</f>
        <v>5650</v>
      </c>
      <c r="E486" s="6" t="s">
        <v>5</v>
      </c>
      <c r="F486" s="11">
        <f>ROUND(C12*880,0)</f>
        <v>5650</v>
      </c>
      <c r="G486" s="35">
        <v>100</v>
      </c>
      <c r="H486" s="17"/>
    </row>
    <row r="487" spans="2:8" s="1" customFormat="1" ht="13.5" customHeight="1" x14ac:dyDescent="0.15">
      <c r="B487" s="33"/>
      <c r="C487" s="7" t="s">
        <v>6</v>
      </c>
      <c r="D487" s="10">
        <v>5</v>
      </c>
      <c r="E487" s="8" t="s">
        <v>7</v>
      </c>
      <c r="F487" s="12">
        <f>ROUND(C12*480,0)</f>
        <v>3082</v>
      </c>
      <c r="G487" s="36"/>
      <c r="H487" s="17"/>
    </row>
    <row r="488" spans="2:8" s="1" customFormat="1" ht="14.25" thickBot="1" x14ac:dyDescent="0.2">
      <c r="B488" s="34"/>
      <c r="C488" s="18" t="s">
        <v>16</v>
      </c>
      <c r="D488" s="19" t="s">
        <v>424</v>
      </c>
      <c r="E488" s="20" t="s">
        <v>17</v>
      </c>
      <c r="F488" s="21" t="s">
        <v>54</v>
      </c>
      <c r="G488" s="22" t="s">
        <v>20</v>
      </c>
      <c r="H488" s="23" t="s">
        <v>37</v>
      </c>
    </row>
    <row r="489" spans="2:8" s="1" customFormat="1" x14ac:dyDescent="0.15">
      <c r="B489" s="13" t="s">
        <v>1</v>
      </c>
      <c r="C489" s="14" t="s">
        <v>0</v>
      </c>
      <c r="D489" s="29" t="s">
        <v>234</v>
      </c>
      <c r="E489" s="30"/>
      <c r="F489" s="31"/>
      <c r="G489" s="15" t="s">
        <v>57</v>
      </c>
      <c r="H489" s="16" t="s">
        <v>98</v>
      </c>
    </row>
    <row r="490" spans="2:8" s="1" customFormat="1" x14ac:dyDescent="0.15">
      <c r="B490" s="32">
        <v>100099</v>
      </c>
      <c r="C490" s="2" t="s">
        <v>2</v>
      </c>
      <c r="D490" s="9">
        <f>ROUND(C12*720,0)</f>
        <v>4622</v>
      </c>
      <c r="E490" s="3" t="s">
        <v>3</v>
      </c>
      <c r="F490" s="11">
        <f>ROUND(C12*1584,0)</f>
        <v>10169</v>
      </c>
      <c r="G490" s="4" t="s">
        <v>8</v>
      </c>
      <c r="H490" s="17" t="s">
        <v>99</v>
      </c>
    </row>
    <row r="491" spans="2:8" s="1" customFormat="1" ht="13.5" customHeight="1" x14ac:dyDescent="0.15">
      <c r="B491" s="33"/>
      <c r="C491" s="5" t="s">
        <v>4</v>
      </c>
      <c r="D491" s="9">
        <f>ROUND(C12*880,0)</f>
        <v>5650</v>
      </c>
      <c r="E491" s="6" t="s">
        <v>5</v>
      </c>
      <c r="F491" s="11">
        <f>ROUND(C12*1936,0)</f>
        <v>12429</v>
      </c>
      <c r="G491" s="35">
        <v>100</v>
      </c>
      <c r="H491" s="17"/>
    </row>
    <row r="492" spans="2:8" s="1" customFormat="1" ht="13.5" customHeight="1" x14ac:dyDescent="0.15">
      <c r="B492" s="33"/>
      <c r="C492" s="7" t="s">
        <v>6</v>
      </c>
      <c r="D492" s="10">
        <v>3</v>
      </c>
      <c r="E492" s="8" t="s">
        <v>7</v>
      </c>
      <c r="F492" s="12">
        <f>ROUND(C12*530,0)</f>
        <v>3403</v>
      </c>
      <c r="G492" s="36"/>
      <c r="H492" s="17"/>
    </row>
    <row r="493" spans="2:8" s="1" customFormat="1" ht="14.25" thickBot="1" x14ac:dyDescent="0.2">
      <c r="B493" s="34"/>
      <c r="C493" s="18" t="s">
        <v>16</v>
      </c>
      <c r="D493" s="19" t="s">
        <v>216</v>
      </c>
      <c r="E493" s="20" t="s">
        <v>17</v>
      </c>
      <c r="F493" s="21" t="s">
        <v>418</v>
      </c>
      <c r="G493" s="22" t="s">
        <v>20</v>
      </c>
      <c r="H493" s="23" t="s">
        <v>37</v>
      </c>
    </row>
    <row r="494" spans="2:8" s="1" customFormat="1" x14ac:dyDescent="0.15">
      <c r="B494" s="13" t="s">
        <v>1</v>
      </c>
      <c r="C494" s="14" t="s">
        <v>0</v>
      </c>
      <c r="D494" s="29" t="s">
        <v>235</v>
      </c>
      <c r="E494" s="30"/>
      <c r="F494" s="31"/>
      <c r="G494" s="15" t="s">
        <v>57</v>
      </c>
      <c r="H494" s="16" t="s">
        <v>47</v>
      </c>
    </row>
    <row r="495" spans="2:8" s="1" customFormat="1" x14ac:dyDescent="0.15">
      <c r="B495" s="32">
        <v>100100</v>
      </c>
      <c r="C495" s="2" t="s">
        <v>2</v>
      </c>
      <c r="D495" s="9">
        <f>ROUND(C12*815,0)</f>
        <v>5232</v>
      </c>
      <c r="E495" s="3" t="s">
        <v>3</v>
      </c>
      <c r="F495" s="11">
        <f>ROUND(C12*830,0)</f>
        <v>5329</v>
      </c>
      <c r="G495" s="4" t="s">
        <v>8</v>
      </c>
      <c r="H495" s="17" t="s">
        <v>28</v>
      </c>
    </row>
    <row r="496" spans="2:8" s="1" customFormat="1" ht="13.5" customHeight="1" x14ac:dyDescent="0.15">
      <c r="B496" s="33"/>
      <c r="C496" s="5" t="s">
        <v>4</v>
      </c>
      <c r="D496" s="9">
        <f>ROUND(C12*815,0)</f>
        <v>5232</v>
      </c>
      <c r="E496" s="6" t="s">
        <v>5</v>
      </c>
      <c r="F496" s="11">
        <f>ROUND(C12*830,0)</f>
        <v>5329</v>
      </c>
      <c r="G496" s="35">
        <v>50</v>
      </c>
      <c r="H496" s="17"/>
    </row>
    <row r="497" spans="2:8" s="1" customFormat="1" ht="13.5" customHeight="1" x14ac:dyDescent="0.15">
      <c r="B497" s="33"/>
      <c r="C497" s="7" t="s">
        <v>6</v>
      </c>
      <c r="D497" s="10">
        <v>5</v>
      </c>
      <c r="E497" s="8" t="s">
        <v>7</v>
      </c>
      <c r="F497" s="12">
        <f>ROUND(C12*370,0)</f>
        <v>2375</v>
      </c>
      <c r="G497" s="36"/>
      <c r="H497" s="17"/>
    </row>
    <row r="498" spans="2:8" s="1" customFormat="1" ht="14.25" thickBot="1" x14ac:dyDescent="0.2">
      <c r="B498" s="34"/>
      <c r="C498" s="18" t="s">
        <v>16</v>
      </c>
      <c r="D498" s="19" t="s">
        <v>425</v>
      </c>
      <c r="E498" s="20" t="s">
        <v>17</v>
      </c>
      <c r="F498" s="21" t="s">
        <v>48</v>
      </c>
      <c r="G498" s="22" t="s">
        <v>20</v>
      </c>
      <c r="H498" s="23" t="s">
        <v>37</v>
      </c>
    </row>
    <row r="499" spans="2:8" s="1" customFormat="1" x14ac:dyDescent="0.15">
      <c r="B499" s="13" t="s">
        <v>1</v>
      </c>
      <c r="C499" s="14" t="s">
        <v>0</v>
      </c>
      <c r="D499" s="29" t="s">
        <v>236</v>
      </c>
      <c r="E499" s="30"/>
      <c r="F499" s="31"/>
      <c r="G499" s="15" t="s">
        <v>57</v>
      </c>
      <c r="H499" s="16" t="s">
        <v>55</v>
      </c>
    </row>
    <row r="500" spans="2:8" s="1" customFormat="1" x14ac:dyDescent="0.15">
      <c r="B500" s="32">
        <v>100101</v>
      </c>
      <c r="C500" s="2" t="s">
        <v>2</v>
      </c>
      <c r="D500" s="9">
        <f>ROUND(C12*815,0)</f>
        <v>5232</v>
      </c>
      <c r="E500" s="3" t="s">
        <v>3</v>
      </c>
      <c r="F500" s="11">
        <f>ROUND(C12*830,0)</f>
        <v>5329</v>
      </c>
      <c r="G500" s="4" t="s">
        <v>8</v>
      </c>
      <c r="H500" s="17" t="s">
        <v>30</v>
      </c>
    </row>
    <row r="501" spans="2:8" s="1" customFormat="1" ht="13.5" customHeight="1" x14ac:dyDescent="0.15">
      <c r="B501" s="33"/>
      <c r="C501" s="5" t="s">
        <v>4</v>
      </c>
      <c r="D501" s="9">
        <f>ROUND(C12*815,0)</f>
        <v>5232</v>
      </c>
      <c r="E501" s="6" t="s">
        <v>5</v>
      </c>
      <c r="F501" s="11">
        <f>ROUND(C12*830,0)</f>
        <v>5329</v>
      </c>
      <c r="G501" s="35">
        <v>100</v>
      </c>
      <c r="H501" s="17"/>
    </row>
    <row r="502" spans="2:8" s="1" customFormat="1" ht="13.5" customHeight="1" x14ac:dyDescent="0.15">
      <c r="B502" s="33"/>
      <c r="C502" s="7" t="s">
        <v>6</v>
      </c>
      <c r="D502" s="10">
        <v>5</v>
      </c>
      <c r="E502" s="8" t="s">
        <v>7</v>
      </c>
      <c r="F502" s="12">
        <f>ROUND(C12*480,0)</f>
        <v>3082</v>
      </c>
      <c r="G502" s="36"/>
      <c r="H502" s="17"/>
    </row>
    <row r="503" spans="2:8" s="1" customFormat="1" ht="14.25" thickBot="1" x14ac:dyDescent="0.2">
      <c r="B503" s="34"/>
      <c r="C503" s="18" t="s">
        <v>16</v>
      </c>
      <c r="D503" s="19" t="s">
        <v>371</v>
      </c>
      <c r="E503" s="20" t="s">
        <v>17</v>
      </c>
      <c r="F503" s="21" t="s">
        <v>49</v>
      </c>
      <c r="G503" s="22" t="s">
        <v>20</v>
      </c>
      <c r="H503" s="23" t="s">
        <v>37</v>
      </c>
    </row>
    <row r="504" spans="2:8" s="1" customFormat="1" x14ac:dyDescent="0.15">
      <c r="B504" s="13" t="s">
        <v>1</v>
      </c>
      <c r="C504" s="14" t="s">
        <v>0</v>
      </c>
      <c r="D504" s="29" t="s">
        <v>237</v>
      </c>
      <c r="E504" s="30"/>
      <c r="F504" s="31"/>
      <c r="G504" s="15" t="s">
        <v>57</v>
      </c>
      <c r="H504" s="16" t="s">
        <v>80</v>
      </c>
    </row>
    <row r="505" spans="2:8" s="1" customFormat="1" x14ac:dyDescent="0.15">
      <c r="B505" s="32">
        <v>100102</v>
      </c>
      <c r="C505" s="2" t="s">
        <v>2</v>
      </c>
      <c r="D505" s="9">
        <f>ROUND(C12*720,0)</f>
        <v>4622</v>
      </c>
      <c r="E505" s="3" t="s">
        <v>3</v>
      </c>
      <c r="F505" s="11">
        <f>ROUND(C12*1584,0)</f>
        <v>10169</v>
      </c>
      <c r="G505" s="4" t="s">
        <v>8</v>
      </c>
      <c r="H505" s="17" t="s">
        <v>81</v>
      </c>
    </row>
    <row r="506" spans="2:8" s="1" customFormat="1" ht="13.5" customHeight="1" x14ac:dyDescent="0.15">
      <c r="B506" s="33"/>
      <c r="C506" s="5" t="s">
        <v>4</v>
      </c>
      <c r="D506" s="9">
        <f>ROUND(C12*880,0)</f>
        <v>5650</v>
      </c>
      <c r="E506" s="6" t="s">
        <v>5</v>
      </c>
      <c r="F506" s="11">
        <f>ROUND(C12*1936,0)</f>
        <v>12429</v>
      </c>
      <c r="G506" s="35">
        <v>100</v>
      </c>
      <c r="H506" s="17"/>
    </row>
    <row r="507" spans="2:8" s="1" customFormat="1" ht="13.5" customHeight="1" x14ac:dyDescent="0.15">
      <c r="B507" s="33"/>
      <c r="C507" s="7" t="s">
        <v>6</v>
      </c>
      <c r="D507" s="10">
        <v>3</v>
      </c>
      <c r="E507" s="8" t="s">
        <v>7</v>
      </c>
      <c r="F507" s="12">
        <f>ROUND(C12*530,0)</f>
        <v>3403</v>
      </c>
      <c r="G507" s="36"/>
      <c r="H507" s="17"/>
    </row>
    <row r="508" spans="2:8" s="1" customFormat="1" ht="14.25" thickBot="1" x14ac:dyDescent="0.2">
      <c r="B508" s="34"/>
      <c r="C508" s="18" t="s">
        <v>16</v>
      </c>
      <c r="D508" s="19" t="s">
        <v>426</v>
      </c>
      <c r="E508" s="20" t="s">
        <v>17</v>
      </c>
      <c r="F508" s="21" t="s">
        <v>392</v>
      </c>
      <c r="G508" s="22" t="s">
        <v>20</v>
      </c>
      <c r="H508" s="23" t="s">
        <v>37</v>
      </c>
    </row>
    <row r="509" spans="2:8" s="1" customFormat="1" x14ac:dyDescent="0.15">
      <c r="B509" s="13" t="s">
        <v>1</v>
      </c>
      <c r="C509" s="14" t="s">
        <v>0</v>
      </c>
      <c r="D509" s="29" t="s">
        <v>238</v>
      </c>
      <c r="E509" s="30"/>
      <c r="F509" s="31"/>
      <c r="G509" s="15" t="s">
        <v>57</v>
      </c>
      <c r="H509" s="16" t="s">
        <v>108</v>
      </c>
    </row>
    <row r="510" spans="2:8" s="1" customFormat="1" x14ac:dyDescent="0.15">
      <c r="B510" s="32">
        <v>100103</v>
      </c>
      <c r="C510" s="2" t="s">
        <v>2</v>
      </c>
      <c r="D510" s="9">
        <f>ROUND(C12*720,0)</f>
        <v>4622</v>
      </c>
      <c r="E510" s="3" t="s">
        <v>3</v>
      </c>
      <c r="F510" s="11">
        <f>ROUND(C12*720,0)</f>
        <v>4622</v>
      </c>
      <c r="G510" s="4" t="s">
        <v>8</v>
      </c>
      <c r="H510" s="17" t="s">
        <v>109</v>
      </c>
    </row>
    <row r="511" spans="2:8" s="1" customFormat="1" ht="13.5" customHeight="1" x14ac:dyDescent="0.15">
      <c r="B511" s="33"/>
      <c r="C511" s="5" t="s">
        <v>4</v>
      </c>
      <c r="D511" s="9">
        <f>ROUND(C12*880,0)</f>
        <v>5650</v>
      </c>
      <c r="E511" s="6" t="s">
        <v>5</v>
      </c>
      <c r="F511" s="11">
        <f>ROUND(C12*880,0)</f>
        <v>5650</v>
      </c>
      <c r="G511" s="35">
        <v>100</v>
      </c>
      <c r="H511" s="17"/>
    </row>
    <row r="512" spans="2:8" s="1" customFormat="1" ht="13.5" customHeight="1" x14ac:dyDescent="0.15">
      <c r="B512" s="33"/>
      <c r="C512" s="7" t="s">
        <v>6</v>
      </c>
      <c r="D512" s="10">
        <v>5</v>
      </c>
      <c r="E512" s="8" t="s">
        <v>7</v>
      </c>
      <c r="F512" s="12">
        <f>ROUND(C12*370,0)</f>
        <v>2375</v>
      </c>
      <c r="G512" s="36"/>
      <c r="H512" s="17"/>
    </row>
    <row r="513" spans="2:8" s="1" customFormat="1" ht="14.25" thickBot="1" x14ac:dyDescent="0.2">
      <c r="B513" s="34"/>
      <c r="C513" s="18" t="s">
        <v>16</v>
      </c>
      <c r="D513" s="19" t="s">
        <v>399</v>
      </c>
      <c r="E513" s="20" t="s">
        <v>17</v>
      </c>
      <c r="F513" s="21" t="s">
        <v>293</v>
      </c>
      <c r="G513" s="22" t="s">
        <v>20</v>
      </c>
      <c r="H513" s="23" t="s">
        <v>37</v>
      </c>
    </row>
    <row r="514" spans="2:8" s="1" customFormat="1" x14ac:dyDescent="0.15">
      <c r="B514" s="13" t="s">
        <v>1</v>
      </c>
      <c r="C514" s="14" t="s">
        <v>0</v>
      </c>
      <c r="D514" s="29" t="s">
        <v>239</v>
      </c>
      <c r="E514" s="30"/>
      <c r="F514" s="31"/>
      <c r="G514" s="15" t="s">
        <v>57</v>
      </c>
      <c r="H514" s="16" t="s">
        <v>116</v>
      </c>
    </row>
    <row r="515" spans="2:8" s="1" customFormat="1" x14ac:dyDescent="0.15">
      <c r="B515" s="32">
        <v>100104</v>
      </c>
      <c r="C515" s="2" t="s">
        <v>2</v>
      </c>
      <c r="D515" s="9">
        <f>ROUND(C12*720,0)</f>
        <v>4622</v>
      </c>
      <c r="E515" s="3" t="s">
        <v>3</v>
      </c>
      <c r="F515" s="11">
        <f>ROUND(C12*1584,0)</f>
        <v>10169</v>
      </c>
      <c r="G515" s="4" t="s">
        <v>8</v>
      </c>
      <c r="H515" s="17" t="s">
        <v>117</v>
      </c>
    </row>
    <row r="516" spans="2:8" s="1" customFormat="1" ht="13.5" customHeight="1" x14ac:dyDescent="0.15">
      <c r="B516" s="33"/>
      <c r="C516" s="5" t="s">
        <v>4</v>
      </c>
      <c r="D516" s="9">
        <f>ROUND(C12*880,0)</f>
        <v>5650</v>
      </c>
      <c r="E516" s="6" t="s">
        <v>5</v>
      </c>
      <c r="F516" s="11">
        <f>ROUND(C12*1936,0)</f>
        <v>12429</v>
      </c>
      <c r="G516" s="35">
        <v>100</v>
      </c>
      <c r="H516" s="17"/>
    </row>
    <row r="517" spans="2:8" s="1" customFormat="1" ht="13.5" customHeight="1" x14ac:dyDescent="0.15">
      <c r="B517" s="33"/>
      <c r="C517" s="7" t="s">
        <v>6</v>
      </c>
      <c r="D517" s="10">
        <v>3</v>
      </c>
      <c r="E517" s="8" t="s">
        <v>7</v>
      </c>
      <c r="F517" s="12">
        <f>ROUND(C12*480,0)</f>
        <v>3082</v>
      </c>
      <c r="G517" s="36"/>
      <c r="H517" s="17"/>
    </row>
    <row r="518" spans="2:8" s="1" customFormat="1" ht="14.25" thickBot="1" x14ac:dyDescent="0.2">
      <c r="B518" s="34"/>
      <c r="C518" s="18" t="s">
        <v>16</v>
      </c>
      <c r="D518" s="19" t="s">
        <v>416</v>
      </c>
      <c r="E518" s="20" t="s">
        <v>17</v>
      </c>
      <c r="F518" s="21" t="s">
        <v>48</v>
      </c>
      <c r="G518" s="22" t="s">
        <v>20</v>
      </c>
      <c r="H518" s="23" t="s">
        <v>37</v>
      </c>
    </row>
    <row r="519" spans="2:8" s="1" customFormat="1" x14ac:dyDescent="0.15">
      <c r="B519" s="13" t="s">
        <v>1</v>
      </c>
      <c r="C519" s="14" t="s">
        <v>0</v>
      </c>
      <c r="D519" s="29" t="s">
        <v>240</v>
      </c>
      <c r="E519" s="30"/>
      <c r="F519" s="31"/>
      <c r="G519" s="15" t="s">
        <v>57</v>
      </c>
      <c r="H519" s="16" t="s">
        <v>53</v>
      </c>
    </row>
    <row r="520" spans="2:8" s="1" customFormat="1" x14ac:dyDescent="0.15">
      <c r="B520" s="32">
        <v>100105</v>
      </c>
      <c r="C520" s="2" t="s">
        <v>2</v>
      </c>
      <c r="D520" s="9">
        <f>ROUND(C12*815,0)</f>
        <v>5232</v>
      </c>
      <c r="E520" s="3" t="s">
        <v>3</v>
      </c>
      <c r="F520" s="11">
        <f>ROUND(C12*830,0)</f>
        <v>5329</v>
      </c>
      <c r="G520" s="4" t="s">
        <v>8</v>
      </c>
      <c r="H520" s="17" t="s">
        <v>394</v>
      </c>
    </row>
    <row r="521" spans="2:8" s="1" customFormat="1" ht="13.5" customHeight="1" x14ac:dyDescent="0.15">
      <c r="B521" s="33"/>
      <c r="C521" s="5" t="s">
        <v>4</v>
      </c>
      <c r="D521" s="9">
        <f>ROUND(C12*815,0)</f>
        <v>5232</v>
      </c>
      <c r="E521" s="6" t="s">
        <v>5</v>
      </c>
      <c r="F521" s="11">
        <f>ROUND(C12*830,0)</f>
        <v>5329</v>
      </c>
      <c r="G521" s="35">
        <v>30</v>
      </c>
      <c r="H521" s="17"/>
    </row>
    <row r="522" spans="2:8" s="1" customFormat="1" ht="13.5" customHeight="1" x14ac:dyDescent="0.15">
      <c r="B522" s="33"/>
      <c r="C522" s="7" t="s">
        <v>6</v>
      </c>
      <c r="D522" s="10">
        <v>5</v>
      </c>
      <c r="E522" s="8" t="s">
        <v>7</v>
      </c>
      <c r="F522" s="12">
        <f>ROUND(C12*530,0)</f>
        <v>3403</v>
      </c>
      <c r="G522" s="36"/>
      <c r="H522" s="17"/>
    </row>
    <row r="523" spans="2:8" s="1" customFormat="1" ht="14.25" thickBot="1" x14ac:dyDescent="0.2">
      <c r="B523" s="34"/>
      <c r="C523" s="18" t="s">
        <v>16</v>
      </c>
      <c r="D523" s="19" t="s">
        <v>42</v>
      </c>
      <c r="E523" s="20" t="s">
        <v>17</v>
      </c>
      <c r="F523" s="21" t="s">
        <v>52</v>
      </c>
      <c r="G523" s="22" t="s">
        <v>20</v>
      </c>
      <c r="H523" s="23" t="s">
        <v>34</v>
      </c>
    </row>
    <row r="524" spans="2:8" s="1" customFormat="1" x14ac:dyDescent="0.15">
      <c r="B524" s="13" t="s">
        <v>1</v>
      </c>
      <c r="C524" s="14" t="s">
        <v>0</v>
      </c>
      <c r="D524" s="29" t="s">
        <v>241</v>
      </c>
      <c r="E524" s="30"/>
      <c r="F524" s="31"/>
      <c r="G524" s="15" t="s">
        <v>57</v>
      </c>
      <c r="H524" s="16" t="s">
        <v>35</v>
      </c>
    </row>
    <row r="525" spans="2:8" s="1" customFormat="1" x14ac:dyDescent="0.15">
      <c r="B525" s="32">
        <v>100106</v>
      </c>
      <c r="C525" s="2" t="s">
        <v>2</v>
      </c>
      <c r="D525" s="9">
        <f>ROUND(C12*815,0)</f>
        <v>5232</v>
      </c>
      <c r="E525" s="3" t="s">
        <v>3</v>
      </c>
      <c r="F525" s="11">
        <f>ROUND(C12*830,0)</f>
        <v>5329</v>
      </c>
      <c r="G525" s="4" t="s">
        <v>8</v>
      </c>
      <c r="H525" s="17" t="s">
        <v>23</v>
      </c>
    </row>
    <row r="526" spans="2:8" s="1" customFormat="1" ht="13.5" customHeight="1" x14ac:dyDescent="0.15">
      <c r="B526" s="33"/>
      <c r="C526" s="5" t="s">
        <v>4</v>
      </c>
      <c r="D526" s="9">
        <f>ROUND(C12*815,0)</f>
        <v>5232</v>
      </c>
      <c r="E526" s="6" t="s">
        <v>5</v>
      </c>
      <c r="F526" s="11">
        <f>ROUND(C12*830,0)</f>
        <v>5329</v>
      </c>
      <c r="G526" s="35">
        <v>100</v>
      </c>
      <c r="H526" s="17"/>
    </row>
    <row r="527" spans="2:8" s="1" customFormat="1" ht="13.5" customHeight="1" x14ac:dyDescent="0.15">
      <c r="B527" s="33"/>
      <c r="C527" s="7" t="s">
        <v>6</v>
      </c>
      <c r="D527" s="10">
        <v>5</v>
      </c>
      <c r="E527" s="8" t="s">
        <v>7</v>
      </c>
      <c r="F527" s="12">
        <f>ROUND(C12*370,0)</f>
        <v>2375</v>
      </c>
      <c r="G527" s="36"/>
      <c r="H527" s="17"/>
    </row>
    <row r="528" spans="2:8" s="1" customFormat="1" ht="14.25" thickBot="1" x14ac:dyDescent="0.2">
      <c r="B528" s="34"/>
      <c r="C528" s="18" t="s">
        <v>16</v>
      </c>
      <c r="D528" s="19" t="s">
        <v>427</v>
      </c>
      <c r="E528" s="20" t="s">
        <v>17</v>
      </c>
      <c r="F528" s="21" t="s">
        <v>100</v>
      </c>
      <c r="G528" s="22" t="s">
        <v>20</v>
      </c>
      <c r="H528" s="23" t="s">
        <v>37</v>
      </c>
    </row>
    <row r="529" spans="2:8" s="1" customFormat="1" x14ac:dyDescent="0.15">
      <c r="B529" s="13" t="s">
        <v>1</v>
      </c>
      <c r="C529" s="14" t="s">
        <v>0</v>
      </c>
      <c r="D529" s="29" t="s">
        <v>242</v>
      </c>
      <c r="E529" s="30"/>
      <c r="F529" s="31"/>
      <c r="G529" s="15" t="s">
        <v>57</v>
      </c>
      <c r="H529" s="16" t="s">
        <v>41</v>
      </c>
    </row>
    <row r="530" spans="2:8" s="1" customFormat="1" x14ac:dyDescent="0.15">
      <c r="B530" s="32">
        <v>100107</v>
      </c>
      <c r="C530" s="2" t="s">
        <v>2</v>
      </c>
      <c r="D530" s="9">
        <f>ROUND(C12*720,0)</f>
        <v>4622</v>
      </c>
      <c r="E530" s="3" t="s">
        <v>3</v>
      </c>
      <c r="F530" s="11">
        <f>ROUND(C12*1584,0)</f>
        <v>10169</v>
      </c>
      <c r="G530" s="4" t="s">
        <v>8</v>
      </c>
      <c r="H530" s="17" t="s">
        <v>25</v>
      </c>
    </row>
    <row r="531" spans="2:8" s="1" customFormat="1" ht="13.5" customHeight="1" x14ac:dyDescent="0.15">
      <c r="B531" s="33"/>
      <c r="C531" s="5" t="s">
        <v>4</v>
      </c>
      <c r="D531" s="9">
        <f>ROUND(C12*880,0)</f>
        <v>5650</v>
      </c>
      <c r="E531" s="6" t="s">
        <v>5</v>
      </c>
      <c r="F531" s="11">
        <f>ROUND(C12*1936,0)</f>
        <v>12429</v>
      </c>
      <c r="G531" s="35">
        <v>100</v>
      </c>
      <c r="H531" s="17"/>
    </row>
    <row r="532" spans="2:8" s="1" customFormat="1" ht="13.5" customHeight="1" x14ac:dyDescent="0.15">
      <c r="B532" s="33"/>
      <c r="C532" s="7" t="s">
        <v>6</v>
      </c>
      <c r="D532" s="10">
        <v>3</v>
      </c>
      <c r="E532" s="8" t="s">
        <v>7</v>
      </c>
      <c r="F532" s="12">
        <f>ROUND(C12*480,0)</f>
        <v>3082</v>
      </c>
      <c r="G532" s="36"/>
      <c r="H532" s="17"/>
    </row>
    <row r="533" spans="2:8" s="1" customFormat="1" ht="14.25" thickBot="1" x14ac:dyDescent="0.2">
      <c r="B533" s="34"/>
      <c r="C533" s="18" t="s">
        <v>16</v>
      </c>
      <c r="D533" s="19" t="s">
        <v>216</v>
      </c>
      <c r="E533" s="20" t="s">
        <v>17</v>
      </c>
      <c r="F533" s="21" t="s">
        <v>257</v>
      </c>
      <c r="G533" s="22" t="s">
        <v>20</v>
      </c>
      <c r="H533" s="23" t="s">
        <v>37</v>
      </c>
    </row>
    <row r="534" spans="2:8" s="1" customFormat="1" x14ac:dyDescent="0.15">
      <c r="B534" s="13" t="s">
        <v>1</v>
      </c>
      <c r="C534" s="14" t="s">
        <v>0</v>
      </c>
      <c r="D534" s="29" t="s">
        <v>245</v>
      </c>
      <c r="E534" s="30"/>
      <c r="F534" s="31"/>
      <c r="G534" s="15" t="s">
        <v>57</v>
      </c>
      <c r="H534" s="16" t="s">
        <v>128</v>
      </c>
    </row>
    <row r="535" spans="2:8" s="1" customFormat="1" x14ac:dyDescent="0.15">
      <c r="B535" s="32">
        <v>100108</v>
      </c>
      <c r="C535" s="2" t="s">
        <v>2</v>
      </c>
      <c r="D535" s="9">
        <f>ROUND(C12*720,0)</f>
        <v>4622</v>
      </c>
      <c r="E535" s="3" t="s">
        <v>3</v>
      </c>
      <c r="F535" s="11">
        <f>ROUND(C12*720,0)</f>
        <v>4622</v>
      </c>
      <c r="G535" s="4" t="s">
        <v>8</v>
      </c>
      <c r="H535" s="17" t="s">
        <v>129</v>
      </c>
    </row>
    <row r="536" spans="2:8" s="1" customFormat="1" ht="13.5" customHeight="1" x14ac:dyDescent="0.15">
      <c r="B536" s="33"/>
      <c r="C536" s="5" t="s">
        <v>4</v>
      </c>
      <c r="D536" s="9">
        <f>ROUND(C12*880,0)</f>
        <v>5650</v>
      </c>
      <c r="E536" s="6" t="s">
        <v>5</v>
      </c>
      <c r="F536" s="11">
        <f>ROUND(C12*880,0)</f>
        <v>5650</v>
      </c>
      <c r="G536" s="35">
        <v>100</v>
      </c>
      <c r="H536" s="17"/>
    </row>
    <row r="537" spans="2:8" s="1" customFormat="1" ht="13.5" customHeight="1" x14ac:dyDescent="0.15">
      <c r="B537" s="33"/>
      <c r="C537" s="7" t="s">
        <v>6</v>
      </c>
      <c r="D537" s="10">
        <v>5</v>
      </c>
      <c r="E537" s="8" t="s">
        <v>7</v>
      </c>
      <c r="F537" s="12">
        <f>ROUND(C12*530,0)</f>
        <v>3403</v>
      </c>
      <c r="G537" s="36"/>
      <c r="H537" s="17"/>
    </row>
    <row r="538" spans="2:8" s="1" customFormat="1" ht="14.25" thickBot="1" x14ac:dyDescent="0.2">
      <c r="B538" s="34"/>
      <c r="C538" s="18" t="s">
        <v>16</v>
      </c>
      <c r="D538" s="19" t="s">
        <v>428</v>
      </c>
      <c r="E538" s="20" t="s">
        <v>17</v>
      </c>
      <c r="F538" s="21" t="s">
        <v>36</v>
      </c>
      <c r="G538" s="22" t="s">
        <v>20</v>
      </c>
      <c r="H538" s="23" t="s">
        <v>37</v>
      </c>
    </row>
    <row r="539" spans="2:8" s="1" customFormat="1" x14ac:dyDescent="0.15">
      <c r="B539" s="13" t="s">
        <v>1</v>
      </c>
      <c r="C539" s="14" t="s">
        <v>0</v>
      </c>
      <c r="D539" s="29" t="s">
        <v>246</v>
      </c>
      <c r="E539" s="30"/>
      <c r="F539" s="31"/>
      <c r="G539" s="15" t="s">
        <v>57</v>
      </c>
      <c r="H539" s="16" t="s">
        <v>131</v>
      </c>
    </row>
    <row r="540" spans="2:8" s="1" customFormat="1" x14ac:dyDescent="0.15">
      <c r="B540" s="32">
        <v>100109</v>
      </c>
      <c r="C540" s="2" t="s">
        <v>2</v>
      </c>
      <c r="D540" s="9">
        <f>ROUND(C12*720,0)</f>
        <v>4622</v>
      </c>
      <c r="E540" s="3" t="s">
        <v>3</v>
      </c>
      <c r="F540" s="11">
        <f>ROUND(C12*1584,0)</f>
        <v>10169</v>
      </c>
      <c r="G540" s="4" t="s">
        <v>8</v>
      </c>
      <c r="H540" s="17" t="s">
        <v>132</v>
      </c>
    </row>
    <row r="541" spans="2:8" s="1" customFormat="1" ht="13.5" customHeight="1" x14ac:dyDescent="0.15">
      <c r="B541" s="33"/>
      <c r="C541" s="5" t="s">
        <v>4</v>
      </c>
      <c r="D541" s="9">
        <f>ROUND(C12*880,0)</f>
        <v>5650</v>
      </c>
      <c r="E541" s="6" t="s">
        <v>5</v>
      </c>
      <c r="F541" s="11">
        <f>ROUND(C12*1936,0)</f>
        <v>12429</v>
      </c>
      <c r="G541" s="35">
        <v>100</v>
      </c>
      <c r="H541" s="17"/>
    </row>
    <row r="542" spans="2:8" s="1" customFormat="1" ht="13.5" customHeight="1" x14ac:dyDescent="0.15">
      <c r="B542" s="33"/>
      <c r="C542" s="7" t="s">
        <v>6</v>
      </c>
      <c r="D542" s="10">
        <v>3</v>
      </c>
      <c r="E542" s="8" t="s">
        <v>7</v>
      </c>
      <c r="F542" s="12">
        <f>ROUND(C12*370,0)</f>
        <v>2375</v>
      </c>
      <c r="G542" s="36"/>
      <c r="H542" s="17"/>
    </row>
    <row r="543" spans="2:8" s="1" customFormat="1" ht="14.25" thickBot="1" x14ac:dyDescent="0.2">
      <c r="B543" s="34"/>
      <c r="C543" s="18" t="s">
        <v>16</v>
      </c>
      <c r="D543" s="19" t="s">
        <v>402</v>
      </c>
      <c r="E543" s="20" t="s">
        <v>17</v>
      </c>
      <c r="F543" s="21" t="s">
        <v>85</v>
      </c>
      <c r="G543" s="22" t="s">
        <v>20</v>
      </c>
      <c r="H543" s="23" t="s">
        <v>37</v>
      </c>
    </row>
    <row r="544" spans="2:8" s="1" customFormat="1" x14ac:dyDescent="0.15">
      <c r="B544" s="13" t="s">
        <v>1</v>
      </c>
      <c r="C544" s="14" t="s">
        <v>0</v>
      </c>
      <c r="D544" s="29" t="s">
        <v>247</v>
      </c>
      <c r="E544" s="30"/>
      <c r="F544" s="31"/>
      <c r="G544" s="15" t="s">
        <v>57</v>
      </c>
      <c r="H544" s="16" t="s">
        <v>84</v>
      </c>
    </row>
    <row r="545" spans="2:8" s="1" customFormat="1" x14ac:dyDescent="0.15">
      <c r="B545" s="32">
        <v>100110</v>
      </c>
      <c r="C545" s="2" t="s">
        <v>2</v>
      </c>
      <c r="D545" s="9">
        <f>ROUND(C12*815,0)</f>
        <v>5232</v>
      </c>
      <c r="E545" s="3" t="s">
        <v>3</v>
      </c>
      <c r="F545" s="11">
        <f>ROUND(C12*830,0)</f>
        <v>5329</v>
      </c>
      <c r="G545" s="4" t="s">
        <v>8</v>
      </c>
      <c r="H545" s="17" t="s">
        <v>398</v>
      </c>
    </row>
    <row r="546" spans="2:8" s="1" customFormat="1" ht="13.5" customHeight="1" x14ac:dyDescent="0.15">
      <c r="B546" s="33"/>
      <c r="C546" s="5" t="s">
        <v>4</v>
      </c>
      <c r="D546" s="9">
        <f>ROUND(C12*815,0)</f>
        <v>5232</v>
      </c>
      <c r="E546" s="6" t="s">
        <v>5</v>
      </c>
      <c r="F546" s="11">
        <f>ROUND(C12*830,0)</f>
        <v>5329</v>
      </c>
      <c r="G546" s="35">
        <v>50</v>
      </c>
      <c r="H546" s="17"/>
    </row>
    <row r="547" spans="2:8" s="1" customFormat="1" ht="13.5" customHeight="1" x14ac:dyDescent="0.15">
      <c r="B547" s="33"/>
      <c r="C547" s="7" t="s">
        <v>6</v>
      </c>
      <c r="D547" s="10">
        <v>5</v>
      </c>
      <c r="E547" s="8" t="s">
        <v>7</v>
      </c>
      <c r="F547" s="12">
        <f>ROUND(C12*480,0)</f>
        <v>3082</v>
      </c>
      <c r="G547" s="36"/>
      <c r="H547" s="17"/>
    </row>
    <row r="548" spans="2:8" s="1" customFormat="1" ht="14.25" thickBot="1" x14ac:dyDescent="0.2">
      <c r="B548" s="34"/>
      <c r="C548" s="18" t="s">
        <v>16</v>
      </c>
      <c r="D548" s="19" t="s">
        <v>391</v>
      </c>
      <c r="E548" s="20" t="s">
        <v>17</v>
      </c>
      <c r="F548" s="21" t="s">
        <v>49</v>
      </c>
      <c r="G548" s="22" t="s">
        <v>20</v>
      </c>
      <c r="H548" s="23" t="s">
        <v>121</v>
      </c>
    </row>
    <row r="549" spans="2:8" s="1" customFormat="1" x14ac:dyDescent="0.15">
      <c r="B549" s="13" t="s">
        <v>1</v>
      </c>
      <c r="C549" s="14" t="s">
        <v>0</v>
      </c>
      <c r="D549" s="29" t="s">
        <v>248</v>
      </c>
      <c r="E549" s="30"/>
      <c r="F549" s="31"/>
      <c r="G549" s="15" t="s">
        <v>57</v>
      </c>
      <c r="H549" s="16" t="s">
        <v>55</v>
      </c>
    </row>
    <row r="550" spans="2:8" s="1" customFormat="1" x14ac:dyDescent="0.15">
      <c r="B550" s="32">
        <v>100111</v>
      </c>
      <c r="C550" s="2" t="s">
        <v>2</v>
      </c>
      <c r="D550" s="9">
        <f>ROUND(C12*815,0)</f>
        <v>5232</v>
      </c>
      <c r="E550" s="3" t="s">
        <v>3</v>
      </c>
      <c r="F550" s="11">
        <f>ROUND(C12*830,0)</f>
        <v>5329</v>
      </c>
      <c r="G550" s="4" t="s">
        <v>8</v>
      </c>
      <c r="H550" s="17" t="s">
        <v>30</v>
      </c>
    </row>
    <row r="551" spans="2:8" s="1" customFormat="1" ht="13.5" customHeight="1" x14ac:dyDescent="0.15">
      <c r="B551" s="33"/>
      <c r="C551" s="5" t="s">
        <v>4</v>
      </c>
      <c r="D551" s="9">
        <f>ROUND(C12*815,0)</f>
        <v>5232</v>
      </c>
      <c r="E551" s="6" t="s">
        <v>5</v>
      </c>
      <c r="F551" s="11">
        <f>ROUND(C12*830,0)</f>
        <v>5329</v>
      </c>
      <c r="G551" s="35">
        <v>100</v>
      </c>
      <c r="H551" s="17"/>
    </row>
    <row r="552" spans="2:8" s="1" customFormat="1" ht="13.5" customHeight="1" x14ac:dyDescent="0.15">
      <c r="B552" s="33"/>
      <c r="C552" s="7" t="s">
        <v>6</v>
      </c>
      <c r="D552" s="10">
        <v>5</v>
      </c>
      <c r="E552" s="8" t="s">
        <v>7</v>
      </c>
      <c r="F552" s="12">
        <f>ROUND(C12*530,0)</f>
        <v>3403</v>
      </c>
      <c r="G552" s="36"/>
      <c r="H552" s="17"/>
    </row>
    <row r="553" spans="2:8" s="1" customFormat="1" ht="14.25" thickBot="1" x14ac:dyDescent="0.2">
      <c r="B553" s="34"/>
      <c r="C553" s="18" t="s">
        <v>16</v>
      </c>
      <c r="D553" s="19" t="s">
        <v>428</v>
      </c>
      <c r="E553" s="20" t="s">
        <v>17</v>
      </c>
      <c r="F553" s="21" t="s">
        <v>36</v>
      </c>
      <c r="G553" s="22" t="s">
        <v>20</v>
      </c>
      <c r="H553" s="23" t="s">
        <v>37</v>
      </c>
    </row>
    <row r="554" spans="2:8" s="1" customFormat="1" x14ac:dyDescent="0.15">
      <c r="B554" s="13" t="s">
        <v>1</v>
      </c>
      <c r="C554" s="14" t="s">
        <v>0</v>
      </c>
      <c r="D554" s="29" t="s">
        <v>249</v>
      </c>
      <c r="E554" s="30"/>
      <c r="F554" s="31"/>
      <c r="G554" s="15" t="s">
        <v>57</v>
      </c>
      <c r="H554" s="16" t="s">
        <v>80</v>
      </c>
    </row>
    <row r="555" spans="2:8" s="1" customFormat="1" x14ac:dyDescent="0.15">
      <c r="B555" s="32">
        <v>100112</v>
      </c>
      <c r="C555" s="2" t="s">
        <v>2</v>
      </c>
      <c r="D555" s="9">
        <f>ROUND(C12*720,0)</f>
        <v>4622</v>
      </c>
      <c r="E555" s="3" t="s">
        <v>3</v>
      </c>
      <c r="F555" s="11">
        <f>ROUND(C12*1584,0)</f>
        <v>10169</v>
      </c>
      <c r="G555" s="4" t="s">
        <v>8</v>
      </c>
      <c r="H555" s="17" t="s">
        <v>81</v>
      </c>
    </row>
    <row r="556" spans="2:8" s="1" customFormat="1" ht="13.5" customHeight="1" x14ac:dyDescent="0.15">
      <c r="B556" s="33"/>
      <c r="C556" s="5" t="s">
        <v>4</v>
      </c>
      <c r="D556" s="9">
        <f>ROUND(C12*880,0)</f>
        <v>5650</v>
      </c>
      <c r="E556" s="6" t="s">
        <v>5</v>
      </c>
      <c r="F556" s="11">
        <f>ROUND(C12*1936,0)</f>
        <v>12429</v>
      </c>
      <c r="G556" s="35">
        <v>100</v>
      </c>
      <c r="H556" s="17"/>
    </row>
    <row r="557" spans="2:8" s="1" customFormat="1" ht="13.5" customHeight="1" x14ac:dyDescent="0.15">
      <c r="B557" s="33"/>
      <c r="C557" s="7" t="s">
        <v>6</v>
      </c>
      <c r="D557" s="10">
        <v>3</v>
      </c>
      <c r="E557" s="8" t="s">
        <v>7</v>
      </c>
      <c r="F557" s="12">
        <f>ROUND(C12*370,0)</f>
        <v>2375</v>
      </c>
      <c r="G557" s="36"/>
      <c r="H557" s="17"/>
    </row>
    <row r="558" spans="2:8" s="1" customFormat="1" ht="14.25" thickBot="1" x14ac:dyDescent="0.2">
      <c r="B558" s="34"/>
      <c r="C558" s="18" t="s">
        <v>16</v>
      </c>
      <c r="D558" s="19" t="s">
        <v>429</v>
      </c>
      <c r="E558" s="20" t="s">
        <v>17</v>
      </c>
      <c r="F558" s="21" t="s">
        <v>396</v>
      </c>
      <c r="G558" s="22" t="s">
        <v>20</v>
      </c>
      <c r="H558" s="23" t="s">
        <v>37</v>
      </c>
    </row>
    <row r="559" spans="2:8" s="1" customFormat="1" x14ac:dyDescent="0.15">
      <c r="B559" s="13" t="s">
        <v>1</v>
      </c>
      <c r="C559" s="14" t="s">
        <v>0</v>
      </c>
      <c r="D559" s="29" t="s">
        <v>250</v>
      </c>
      <c r="E559" s="30"/>
      <c r="F559" s="31"/>
      <c r="G559" s="15" t="s">
        <v>57</v>
      </c>
      <c r="H559" s="16" t="s">
        <v>146</v>
      </c>
    </row>
    <row r="560" spans="2:8" s="1" customFormat="1" x14ac:dyDescent="0.15">
      <c r="B560" s="32">
        <v>100113</v>
      </c>
      <c r="C560" s="2" t="s">
        <v>2</v>
      </c>
      <c r="D560" s="9">
        <f>ROUND(C12*720,0)</f>
        <v>4622</v>
      </c>
      <c r="E560" s="3" t="s">
        <v>3</v>
      </c>
      <c r="F560" s="11">
        <f>ROUND(C12*720,0)</f>
        <v>4622</v>
      </c>
      <c r="G560" s="4" t="s">
        <v>8</v>
      </c>
      <c r="H560" s="17" t="s">
        <v>147</v>
      </c>
    </row>
    <row r="561" spans="2:8" s="1" customFormat="1" ht="13.5" customHeight="1" x14ac:dyDescent="0.15">
      <c r="B561" s="33"/>
      <c r="C561" s="5" t="s">
        <v>4</v>
      </c>
      <c r="D561" s="9">
        <f>ROUND(C12*880,0)</f>
        <v>5650</v>
      </c>
      <c r="E561" s="6" t="s">
        <v>5</v>
      </c>
      <c r="F561" s="11">
        <f>ROUND(C12*880,0)</f>
        <v>5650</v>
      </c>
      <c r="G561" s="35">
        <v>100</v>
      </c>
      <c r="H561" s="17"/>
    </row>
    <row r="562" spans="2:8" s="1" customFormat="1" ht="13.5" customHeight="1" x14ac:dyDescent="0.15">
      <c r="B562" s="33"/>
      <c r="C562" s="7" t="s">
        <v>6</v>
      </c>
      <c r="D562" s="10">
        <v>5</v>
      </c>
      <c r="E562" s="8" t="s">
        <v>7</v>
      </c>
      <c r="F562" s="12">
        <f>ROUND(C12*480,0)</f>
        <v>3082</v>
      </c>
      <c r="G562" s="36"/>
      <c r="H562" s="17"/>
    </row>
    <row r="563" spans="2:8" s="1" customFormat="1" ht="14.25" thickBot="1" x14ac:dyDescent="0.2">
      <c r="B563" s="34"/>
      <c r="C563" s="18" t="s">
        <v>16</v>
      </c>
      <c r="D563" s="19" t="s">
        <v>414</v>
      </c>
      <c r="E563" s="20" t="s">
        <v>17</v>
      </c>
      <c r="F563" s="21" t="s">
        <v>430</v>
      </c>
      <c r="G563" s="22" t="s">
        <v>20</v>
      </c>
      <c r="H563" s="23" t="s">
        <v>37</v>
      </c>
    </row>
    <row r="564" spans="2:8" s="1" customFormat="1" x14ac:dyDescent="0.15">
      <c r="B564" s="13" t="s">
        <v>1</v>
      </c>
      <c r="C564" s="14" t="s">
        <v>0</v>
      </c>
      <c r="D564" s="29" t="s">
        <v>251</v>
      </c>
      <c r="E564" s="30"/>
      <c r="F564" s="31"/>
      <c r="G564" s="15" t="s">
        <v>57</v>
      </c>
      <c r="H564" s="16" t="s">
        <v>44</v>
      </c>
    </row>
    <row r="565" spans="2:8" s="1" customFormat="1" x14ac:dyDescent="0.15">
      <c r="B565" s="32">
        <v>100114</v>
      </c>
      <c r="C565" s="2" t="s">
        <v>2</v>
      </c>
      <c r="D565" s="9">
        <f>ROUND(C12*720,0)</f>
        <v>4622</v>
      </c>
      <c r="E565" s="3" t="s">
        <v>3</v>
      </c>
      <c r="F565" s="11">
        <f>ROUND(C12*1584,0)</f>
        <v>10169</v>
      </c>
      <c r="G565" s="4" t="s">
        <v>8</v>
      </c>
      <c r="H565" s="17" t="s">
        <v>26</v>
      </c>
    </row>
    <row r="566" spans="2:8" s="1" customFormat="1" ht="13.5" customHeight="1" x14ac:dyDescent="0.15">
      <c r="B566" s="33"/>
      <c r="C566" s="5" t="s">
        <v>4</v>
      </c>
      <c r="D566" s="9">
        <f>ROUND(C12*880,0)</f>
        <v>5650</v>
      </c>
      <c r="E566" s="6" t="s">
        <v>5</v>
      </c>
      <c r="F566" s="11">
        <f>ROUND(C12*1936,0)</f>
        <v>12429</v>
      </c>
      <c r="G566" s="35">
        <v>100</v>
      </c>
      <c r="H566" s="17"/>
    </row>
    <row r="567" spans="2:8" s="1" customFormat="1" ht="13.5" customHeight="1" x14ac:dyDescent="0.15">
      <c r="B567" s="33"/>
      <c r="C567" s="7" t="s">
        <v>6</v>
      </c>
      <c r="D567" s="10">
        <v>3</v>
      </c>
      <c r="E567" s="8" t="s">
        <v>7</v>
      </c>
      <c r="F567" s="12">
        <f>ROUND(C12*530,0)</f>
        <v>3403</v>
      </c>
      <c r="G567" s="36"/>
      <c r="H567" s="17"/>
    </row>
    <row r="568" spans="2:8" s="1" customFormat="1" ht="14.25" thickBot="1" x14ac:dyDescent="0.2">
      <c r="B568" s="34"/>
      <c r="C568" s="18" t="s">
        <v>16</v>
      </c>
      <c r="D568" s="19" t="s">
        <v>380</v>
      </c>
      <c r="E568" s="20" t="s">
        <v>17</v>
      </c>
      <c r="F568" s="21" t="s">
        <v>392</v>
      </c>
      <c r="G568" s="22" t="s">
        <v>20</v>
      </c>
      <c r="H568" s="23" t="s">
        <v>37</v>
      </c>
    </row>
    <row r="569" spans="2:8" s="1" customFormat="1" x14ac:dyDescent="0.15">
      <c r="B569" s="13" t="s">
        <v>1</v>
      </c>
      <c r="C569" s="14" t="s">
        <v>0</v>
      </c>
      <c r="D569" s="29" t="s">
        <v>252</v>
      </c>
      <c r="E569" s="30"/>
      <c r="F569" s="31"/>
      <c r="G569" s="15" t="s">
        <v>57</v>
      </c>
      <c r="H569" s="16" t="s">
        <v>88</v>
      </c>
    </row>
    <row r="570" spans="2:8" s="1" customFormat="1" x14ac:dyDescent="0.15">
      <c r="B570" s="32">
        <v>100115</v>
      </c>
      <c r="C570" s="2" t="s">
        <v>2</v>
      </c>
      <c r="D570" s="9">
        <f>ROUND(C12*815,0)</f>
        <v>5232</v>
      </c>
      <c r="E570" s="3" t="s">
        <v>3</v>
      </c>
      <c r="F570" s="11">
        <f>ROUND(C12*830,0)</f>
        <v>5329</v>
      </c>
      <c r="G570" s="4" t="s">
        <v>8</v>
      </c>
      <c r="H570" s="17" t="s">
        <v>89</v>
      </c>
    </row>
    <row r="571" spans="2:8" s="1" customFormat="1" ht="13.5" customHeight="1" x14ac:dyDescent="0.15">
      <c r="B571" s="33"/>
      <c r="C571" s="5" t="s">
        <v>4</v>
      </c>
      <c r="D571" s="9">
        <f>ROUND(C12*815,0)</f>
        <v>5232</v>
      </c>
      <c r="E571" s="6" t="s">
        <v>5</v>
      </c>
      <c r="F571" s="11">
        <f>ROUND(C12*830,0)</f>
        <v>5329</v>
      </c>
      <c r="G571" s="35">
        <v>50</v>
      </c>
      <c r="H571" s="17"/>
    </row>
    <row r="572" spans="2:8" s="1" customFormat="1" ht="13.5" customHeight="1" x14ac:dyDescent="0.15">
      <c r="B572" s="33"/>
      <c r="C572" s="7" t="s">
        <v>6</v>
      </c>
      <c r="D572" s="10">
        <v>5</v>
      </c>
      <c r="E572" s="8" t="s">
        <v>7</v>
      </c>
      <c r="F572" s="12">
        <f>ROUND(C12*370,0)</f>
        <v>2375</v>
      </c>
      <c r="G572" s="36"/>
      <c r="H572" s="17"/>
    </row>
    <row r="573" spans="2:8" s="1" customFormat="1" ht="14.25" thickBot="1" x14ac:dyDescent="0.2">
      <c r="B573" s="34"/>
      <c r="C573" s="18" t="s">
        <v>16</v>
      </c>
      <c r="D573" s="19" t="s">
        <v>355</v>
      </c>
      <c r="E573" s="20" t="s">
        <v>17</v>
      </c>
      <c r="F573" s="21" t="s">
        <v>293</v>
      </c>
      <c r="G573" s="22" t="s">
        <v>20</v>
      </c>
      <c r="H573" s="23" t="s">
        <v>37</v>
      </c>
    </row>
    <row r="574" spans="2:8" s="1" customFormat="1" x14ac:dyDescent="0.15">
      <c r="B574" s="13" t="s">
        <v>1</v>
      </c>
      <c r="C574" s="14" t="s">
        <v>0</v>
      </c>
      <c r="D574" s="29" t="s">
        <v>253</v>
      </c>
      <c r="E574" s="30"/>
      <c r="F574" s="31"/>
      <c r="G574" s="15" t="s">
        <v>57</v>
      </c>
      <c r="H574" s="16" t="s">
        <v>35</v>
      </c>
    </row>
    <row r="575" spans="2:8" s="1" customFormat="1" x14ac:dyDescent="0.15">
      <c r="B575" s="32">
        <v>100116</v>
      </c>
      <c r="C575" s="2" t="s">
        <v>2</v>
      </c>
      <c r="D575" s="9">
        <f>ROUND(C12*815,0)</f>
        <v>5232</v>
      </c>
      <c r="E575" s="3" t="s">
        <v>3</v>
      </c>
      <c r="F575" s="11">
        <f>ROUND(C12*830,0)</f>
        <v>5329</v>
      </c>
      <c r="G575" s="4" t="s">
        <v>8</v>
      </c>
      <c r="H575" s="17" t="s">
        <v>23</v>
      </c>
    </row>
    <row r="576" spans="2:8" s="1" customFormat="1" ht="13.5" customHeight="1" x14ac:dyDescent="0.15">
      <c r="B576" s="33"/>
      <c r="C576" s="5" t="s">
        <v>4</v>
      </c>
      <c r="D576" s="9">
        <f>ROUND(C12*815,0)</f>
        <v>5232</v>
      </c>
      <c r="E576" s="6" t="s">
        <v>5</v>
      </c>
      <c r="F576" s="11">
        <f>ROUND(C12*830,0)</f>
        <v>5329</v>
      </c>
      <c r="G576" s="35">
        <v>100</v>
      </c>
      <c r="H576" s="17"/>
    </row>
    <row r="577" spans="2:8" s="1" customFormat="1" ht="13.5" customHeight="1" x14ac:dyDescent="0.15">
      <c r="B577" s="33"/>
      <c r="C577" s="7" t="s">
        <v>6</v>
      </c>
      <c r="D577" s="10">
        <v>5</v>
      </c>
      <c r="E577" s="8" t="s">
        <v>7</v>
      </c>
      <c r="F577" s="12">
        <f>ROUND(C12*480,0)</f>
        <v>3082</v>
      </c>
      <c r="G577" s="36"/>
      <c r="H577" s="17"/>
    </row>
    <row r="578" spans="2:8" s="1" customFormat="1" ht="14.25" thickBot="1" x14ac:dyDescent="0.2">
      <c r="B578" s="34"/>
      <c r="C578" s="18" t="s">
        <v>16</v>
      </c>
      <c r="D578" s="19" t="s">
        <v>411</v>
      </c>
      <c r="E578" s="20" t="s">
        <v>17</v>
      </c>
      <c r="F578" s="21" t="s">
        <v>100</v>
      </c>
      <c r="G578" s="22" t="s">
        <v>20</v>
      </c>
      <c r="H578" s="23" t="s">
        <v>37</v>
      </c>
    </row>
    <row r="579" spans="2:8" s="1" customFormat="1" x14ac:dyDescent="0.15">
      <c r="B579" s="13" t="s">
        <v>1</v>
      </c>
      <c r="C579" s="14" t="s">
        <v>0</v>
      </c>
      <c r="D579" s="29" t="s">
        <v>254</v>
      </c>
      <c r="E579" s="30"/>
      <c r="F579" s="31"/>
      <c r="G579" s="15" t="s">
        <v>57</v>
      </c>
      <c r="H579" s="16" t="s">
        <v>41</v>
      </c>
    </row>
    <row r="580" spans="2:8" s="1" customFormat="1" x14ac:dyDescent="0.15">
      <c r="B580" s="32">
        <v>100117</v>
      </c>
      <c r="C580" s="2" t="s">
        <v>2</v>
      </c>
      <c r="D580" s="9">
        <f>ROUND(C12*720,0)</f>
        <v>4622</v>
      </c>
      <c r="E580" s="3" t="s">
        <v>3</v>
      </c>
      <c r="F580" s="11">
        <f>ROUND(C12*1584,0)</f>
        <v>10169</v>
      </c>
      <c r="G580" s="4" t="s">
        <v>8</v>
      </c>
      <c r="H580" s="17" t="s">
        <v>25</v>
      </c>
    </row>
    <row r="581" spans="2:8" s="1" customFormat="1" ht="13.5" customHeight="1" x14ac:dyDescent="0.15">
      <c r="B581" s="33"/>
      <c r="C581" s="5" t="s">
        <v>4</v>
      </c>
      <c r="D581" s="9">
        <f>ROUND(C12*880,0)</f>
        <v>5650</v>
      </c>
      <c r="E581" s="6" t="s">
        <v>5</v>
      </c>
      <c r="F581" s="11">
        <f>ROUND(C12*1936,0)</f>
        <v>12429</v>
      </c>
      <c r="G581" s="35">
        <v>100</v>
      </c>
      <c r="H581" s="17"/>
    </row>
    <row r="582" spans="2:8" s="1" customFormat="1" ht="13.5" customHeight="1" x14ac:dyDescent="0.15">
      <c r="B582" s="33"/>
      <c r="C582" s="7" t="s">
        <v>6</v>
      </c>
      <c r="D582" s="10">
        <v>3</v>
      </c>
      <c r="E582" s="8" t="s">
        <v>7</v>
      </c>
      <c r="F582" s="12">
        <f>ROUND(C12*530,0)</f>
        <v>3403</v>
      </c>
      <c r="G582" s="36"/>
      <c r="H582" s="17"/>
    </row>
    <row r="583" spans="2:8" s="1" customFormat="1" ht="14.25" thickBot="1" x14ac:dyDescent="0.2">
      <c r="B583" s="34"/>
      <c r="C583" s="18" t="s">
        <v>16</v>
      </c>
      <c r="D583" s="19" t="s">
        <v>419</v>
      </c>
      <c r="E583" s="20" t="s">
        <v>17</v>
      </c>
      <c r="F583" s="21" t="s">
        <v>32</v>
      </c>
      <c r="G583" s="22" t="s">
        <v>20</v>
      </c>
      <c r="H583" s="23" t="s">
        <v>37</v>
      </c>
    </row>
    <row r="584" spans="2:8" s="1" customFormat="1" x14ac:dyDescent="0.15">
      <c r="B584" s="13" t="s">
        <v>1</v>
      </c>
      <c r="C584" s="14" t="s">
        <v>0</v>
      </c>
      <c r="D584" s="29" t="s">
        <v>255</v>
      </c>
      <c r="E584" s="30"/>
      <c r="F584" s="31"/>
      <c r="G584" s="15" t="s">
        <v>57</v>
      </c>
      <c r="H584" s="16" t="s">
        <v>74</v>
      </c>
    </row>
    <row r="585" spans="2:8" s="1" customFormat="1" x14ac:dyDescent="0.15">
      <c r="B585" s="32">
        <v>100118</v>
      </c>
      <c r="C585" s="2" t="s">
        <v>2</v>
      </c>
      <c r="D585" s="9">
        <f>ROUND(C12*720,0)</f>
        <v>4622</v>
      </c>
      <c r="E585" s="3" t="s">
        <v>3</v>
      </c>
      <c r="F585" s="11">
        <f>ROUND(C12*1584,0)</f>
        <v>10169</v>
      </c>
      <c r="G585" s="4" t="s">
        <v>8</v>
      </c>
      <c r="H585" s="17" t="s">
        <v>75</v>
      </c>
    </row>
    <row r="586" spans="2:8" s="1" customFormat="1" ht="13.5" customHeight="1" x14ac:dyDescent="0.15">
      <c r="B586" s="33"/>
      <c r="C586" s="5" t="s">
        <v>4</v>
      </c>
      <c r="D586" s="9">
        <f>ROUND(C12*880,0)</f>
        <v>5650</v>
      </c>
      <c r="E586" s="6" t="s">
        <v>5</v>
      </c>
      <c r="F586" s="11">
        <f>ROUND(C12*1936,0)</f>
        <v>12429</v>
      </c>
      <c r="G586" s="35">
        <v>100</v>
      </c>
      <c r="H586" s="17"/>
    </row>
    <row r="587" spans="2:8" s="1" customFormat="1" ht="13.5" customHeight="1" x14ac:dyDescent="0.15">
      <c r="B587" s="33"/>
      <c r="C587" s="7" t="s">
        <v>6</v>
      </c>
      <c r="D587" s="10">
        <v>3</v>
      </c>
      <c r="E587" s="8" t="s">
        <v>7</v>
      </c>
      <c r="F587" s="12">
        <f>ROUND(C12*480,0)</f>
        <v>3082</v>
      </c>
      <c r="G587" s="36"/>
      <c r="H587" s="17"/>
    </row>
    <row r="588" spans="2:8" s="1" customFormat="1" ht="14.25" thickBot="1" x14ac:dyDescent="0.2">
      <c r="B588" s="34"/>
      <c r="C588" s="18" t="s">
        <v>16</v>
      </c>
      <c r="D588" s="19" t="s">
        <v>415</v>
      </c>
      <c r="E588" s="20" t="s">
        <v>17</v>
      </c>
      <c r="F588" s="21" t="s">
        <v>48</v>
      </c>
      <c r="G588" s="22" t="s">
        <v>20</v>
      </c>
      <c r="H588" s="23" t="s">
        <v>37</v>
      </c>
    </row>
    <row r="589" spans="2:8" s="1" customFormat="1" x14ac:dyDescent="0.15">
      <c r="B589" s="13" t="s">
        <v>1</v>
      </c>
      <c r="C589" s="14" t="s">
        <v>0</v>
      </c>
      <c r="D589" s="29" t="s">
        <v>256</v>
      </c>
      <c r="E589" s="30"/>
      <c r="F589" s="31"/>
      <c r="G589" s="15" t="s">
        <v>57</v>
      </c>
      <c r="H589" s="16" t="s">
        <v>55</v>
      </c>
    </row>
    <row r="590" spans="2:8" s="1" customFormat="1" x14ac:dyDescent="0.15">
      <c r="B590" s="32">
        <v>100119</v>
      </c>
      <c r="C590" s="2" t="s">
        <v>2</v>
      </c>
      <c r="D590" s="9">
        <f>ROUND(C12*815,0)</f>
        <v>5232</v>
      </c>
      <c r="E590" s="3" t="s">
        <v>3</v>
      </c>
      <c r="F590" s="11">
        <f>ROUND(C12*830,0)</f>
        <v>5329</v>
      </c>
      <c r="G590" s="4" t="s">
        <v>8</v>
      </c>
      <c r="H590" s="17" t="s">
        <v>30</v>
      </c>
    </row>
    <row r="591" spans="2:8" s="1" customFormat="1" ht="13.5" customHeight="1" x14ac:dyDescent="0.15">
      <c r="B591" s="33"/>
      <c r="C591" s="5" t="s">
        <v>4</v>
      </c>
      <c r="D591" s="9">
        <f>ROUND(C12*815,0)</f>
        <v>5232</v>
      </c>
      <c r="E591" s="6" t="s">
        <v>5</v>
      </c>
      <c r="F591" s="11">
        <f>ROUND(C12*830,0)</f>
        <v>5329</v>
      </c>
      <c r="G591" s="35">
        <v>100</v>
      </c>
      <c r="H591" s="17"/>
    </row>
    <row r="592" spans="2:8" s="1" customFormat="1" ht="13.5" customHeight="1" x14ac:dyDescent="0.15">
      <c r="B592" s="33"/>
      <c r="C592" s="7" t="s">
        <v>6</v>
      </c>
      <c r="D592" s="10">
        <v>5</v>
      </c>
      <c r="E592" s="8" t="s">
        <v>7</v>
      </c>
      <c r="F592" s="12">
        <f>ROUND(C12*370,0)</f>
        <v>2375</v>
      </c>
      <c r="G592" s="36"/>
      <c r="H592" s="17"/>
    </row>
    <row r="593" spans="2:8" s="1" customFormat="1" ht="14.25" thickBot="1" x14ac:dyDescent="0.2">
      <c r="B593" s="34"/>
      <c r="C593" s="18" t="s">
        <v>16</v>
      </c>
      <c r="D593" s="19" t="s">
        <v>407</v>
      </c>
      <c r="E593" s="20" t="s">
        <v>17</v>
      </c>
      <c r="F593" s="21" t="s">
        <v>396</v>
      </c>
      <c r="G593" s="22" t="s">
        <v>20</v>
      </c>
      <c r="H593" s="23" t="s">
        <v>37</v>
      </c>
    </row>
    <row r="594" spans="2:8" s="1" customFormat="1" x14ac:dyDescent="0.15">
      <c r="B594" s="13" t="s">
        <v>1</v>
      </c>
      <c r="C594" s="14" t="s">
        <v>0</v>
      </c>
      <c r="D594" s="29" t="s">
        <v>259</v>
      </c>
      <c r="E594" s="30"/>
      <c r="F594" s="31"/>
      <c r="G594" s="15" t="s">
        <v>57</v>
      </c>
      <c r="H594" s="16" t="s">
        <v>80</v>
      </c>
    </row>
    <row r="595" spans="2:8" s="1" customFormat="1" x14ac:dyDescent="0.15">
      <c r="B595" s="32">
        <v>100120</v>
      </c>
      <c r="C595" s="2" t="s">
        <v>2</v>
      </c>
      <c r="D595" s="9">
        <f>ROUND(C12*720,0)</f>
        <v>4622</v>
      </c>
      <c r="E595" s="3" t="s">
        <v>3</v>
      </c>
      <c r="F595" s="11">
        <f>ROUND(C12*1584,0)</f>
        <v>10169</v>
      </c>
      <c r="G595" s="4" t="s">
        <v>8</v>
      </c>
      <c r="H595" s="17" t="s">
        <v>81</v>
      </c>
    </row>
    <row r="596" spans="2:8" s="1" customFormat="1" ht="13.5" customHeight="1" x14ac:dyDescent="0.15">
      <c r="B596" s="33"/>
      <c r="C596" s="5" t="s">
        <v>4</v>
      </c>
      <c r="D596" s="9">
        <f>ROUND(C12*880,0)</f>
        <v>5650</v>
      </c>
      <c r="E596" s="6" t="s">
        <v>5</v>
      </c>
      <c r="F596" s="11">
        <f>ROUND(C12*1936,0)</f>
        <v>12429</v>
      </c>
      <c r="G596" s="35">
        <v>100</v>
      </c>
      <c r="H596" s="17"/>
    </row>
    <row r="597" spans="2:8" s="1" customFormat="1" ht="13.5" customHeight="1" x14ac:dyDescent="0.15">
      <c r="B597" s="33"/>
      <c r="C597" s="7" t="s">
        <v>6</v>
      </c>
      <c r="D597" s="10">
        <v>3</v>
      </c>
      <c r="E597" s="8" t="s">
        <v>7</v>
      </c>
      <c r="F597" s="12">
        <f>ROUND(C12*480,0)</f>
        <v>3082</v>
      </c>
      <c r="G597" s="36"/>
      <c r="H597" s="17"/>
    </row>
    <row r="598" spans="2:8" s="1" customFormat="1" ht="14.25" thickBot="1" x14ac:dyDescent="0.2">
      <c r="B598" s="34"/>
      <c r="C598" s="18" t="s">
        <v>16</v>
      </c>
      <c r="D598" s="19" t="s">
        <v>393</v>
      </c>
      <c r="E598" s="20" t="s">
        <v>17</v>
      </c>
      <c r="F598" s="21" t="s">
        <v>100</v>
      </c>
      <c r="G598" s="22" t="s">
        <v>20</v>
      </c>
      <c r="H598" s="23" t="s">
        <v>37</v>
      </c>
    </row>
    <row r="599" spans="2:8" s="1" customFormat="1" x14ac:dyDescent="0.15">
      <c r="B599" s="13" t="s">
        <v>1</v>
      </c>
      <c r="C599" s="14" t="s">
        <v>0</v>
      </c>
      <c r="D599" s="29" t="s">
        <v>260</v>
      </c>
      <c r="E599" s="30"/>
      <c r="F599" s="31"/>
      <c r="G599" s="15" t="s">
        <v>57</v>
      </c>
      <c r="H599" s="16" t="s">
        <v>91</v>
      </c>
    </row>
    <row r="600" spans="2:8" s="1" customFormat="1" x14ac:dyDescent="0.15">
      <c r="B600" s="32">
        <v>100121</v>
      </c>
      <c r="C600" s="2" t="s">
        <v>2</v>
      </c>
      <c r="D600" s="9">
        <f>ROUND(C12*720,0)</f>
        <v>4622</v>
      </c>
      <c r="E600" s="3" t="s">
        <v>3</v>
      </c>
      <c r="F600" s="11">
        <f>ROUND(C12*1584,0)</f>
        <v>10169</v>
      </c>
      <c r="G600" s="4" t="s">
        <v>8</v>
      </c>
      <c r="H600" s="17" t="s">
        <v>92</v>
      </c>
    </row>
    <row r="601" spans="2:8" s="1" customFormat="1" ht="13.5" customHeight="1" x14ac:dyDescent="0.15">
      <c r="B601" s="33"/>
      <c r="C601" s="5" t="s">
        <v>4</v>
      </c>
      <c r="D601" s="9">
        <f>ROUND(C12*880,0)</f>
        <v>5650</v>
      </c>
      <c r="E601" s="6" t="s">
        <v>5</v>
      </c>
      <c r="F601" s="11">
        <f>ROUND(C12*1936,0)</f>
        <v>12429</v>
      </c>
      <c r="G601" s="35">
        <v>100</v>
      </c>
      <c r="H601" s="17"/>
    </row>
    <row r="602" spans="2:8" s="1" customFormat="1" ht="13.5" customHeight="1" x14ac:dyDescent="0.15">
      <c r="B602" s="33"/>
      <c r="C602" s="7" t="s">
        <v>6</v>
      </c>
      <c r="D602" s="10">
        <v>3</v>
      </c>
      <c r="E602" s="8" t="s">
        <v>7</v>
      </c>
      <c r="F602" s="12">
        <f>ROUND(C12*370,0)</f>
        <v>2375</v>
      </c>
      <c r="G602" s="36"/>
      <c r="H602" s="17"/>
    </row>
    <row r="603" spans="2:8" s="1" customFormat="1" ht="14.25" thickBot="1" x14ac:dyDescent="0.2">
      <c r="B603" s="34"/>
      <c r="C603" s="18" t="s">
        <v>16</v>
      </c>
      <c r="D603" s="19" t="s">
        <v>407</v>
      </c>
      <c r="E603" s="20" t="s">
        <v>17</v>
      </c>
      <c r="F603" s="21" t="s">
        <v>49</v>
      </c>
      <c r="G603" s="22" t="s">
        <v>20</v>
      </c>
      <c r="H603" s="23" t="s">
        <v>37</v>
      </c>
    </row>
    <row r="604" spans="2:8" s="1" customFormat="1" x14ac:dyDescent="0.15">
      <c r="B604" s="13" t="s">
        <v>1</v>
      </c>
      <c r="C604" s="14" t="s">
        <v>0</v>
      </c>
      <c r="D604" s="29" t="s">
        <v>261</v>
      </c>
      <c r="E604" s="30"/>
      <c r="F604" s="31"/>
      <c r="G604" s="15" t="s">
        <v>57</v>
      </c>
      <c r="H604" s="16" t="s">
        <v>104</v>
      </c>
    </row>
    <row r="605" spans="2:8" s="1" customFormat="1" x14ac:dyDescent="0.15">
      <c r="B605" s="32">
        <v>100122</v>
      </c>
      <c r="C605" s="2" t="s">
        <v>2</v>
      </c>
      <c r="D605" s="9">
        <f>ROUND(C12*815,0)</f>
        <v>5232</v>
      </c>
      <c r="E605" s="3" t="s">
        <v>3</v>
      </c>
      <c r="F605" s="11">
        <f>ROUND(C12*830,0)</f>
        <v>5329</v>
      </c>
      <c r="G605" s="4" t="s">
        <v>8</v>
      </c>
      <c r="H605" s="17" t="s">
        <v>105</v>
      </c>
    </row>
    <row r="606" spans="2:8" s="1" customFormat="1" ht="13.5" customHeight="1" x14ac:dyDescent="0.15">
      <c r="B606" s="33"/>
      <c r="C606" s="5" t="s">
        <v>4</v>
      </c>
      <c r="D606" s="9">
        <f>ROUND(C12*815,0)</f>
        <v>5232</v>
      </c>
      <c r="E606" s="6" t="s">
        <v>5</v>
      </c>
      <c r="F606" s="11">
        <f>ROUND(C12*830,0)</f>
        <v>5329</v>
      </c>
      <c r="G606" s="35">
        <v>50</v>
      </c>
      <c r="H606" s="17"/>
    </row>
    <row r="607" spans="2:8" s="1" customFormat="1" ht="13.5" customHeight="1" x14ac:dyDescent="0.15">
      <c r="B607" s="33"/>
      <c r="C607" s="7" t="s">
        <v>6</v>
      </c>
      <c r="D607" s="10">
        <v>5</v>
      </c>
      <c r="E607" s="8" t="s">
        <v>7</v>
      </c>
      <c r="F607" s="12">
        <f>ROUND(C12*480,0)</f>
        <v>3082</v>
      </c>
      <c r="G607" s="36"/>
      <c r="H607" s="17"/>
    </row>
    <row r="608" spans="2:8" s="1" customFormat="1" ht="14.25" thickBot="1" x14ac:dyDescent="0.2">
      <c r="B608" s="34"/>
      <c r="C608" s="18" t="s">
        <v>16</v>
      </c>
      <c r="D608" s="19" t="s">
        <v>408</v>
      </c>
      <c r="E608" s="20" t="s">
        <v>17</v>
      </c>
      <c r="F608" s="21" t="s">
        <v>294</v>
      </c>
      <c r="G608" s="22" t="s">
        <v>20</v>
      </c>
      <c r="H608" s="23" t="s">
        <v>262</v>
      </c>
    </row>
    <row r="609" spans="2:8" s="1" customFormat="1" x14ac:dyDescent="0.15">
      <c r="B609" s="13" t="s">
        <v>1</v>
      </c>
      <c r="C609" s="14" t="s">
        <v>0</v>
      </c>
      <c r="D609" s="29" t="s">
        <v>263</v>
      </c>
      <c r="E609" s="30"/>
      <c r="F609" s="31"/>
      <c r="G609" s="15" t="s">
        <v>57</v>
      </c>
      <c r="H609" s="16" t="s">
        <v>35</v>
      </c>
    </row>
    <row r="610" spans="2:8" s="1" customFormat="1" x14ac:dyDescent="0.15">
      <c r="B610" s="32">
        <v>100123</v>
      </c>
      <c r="C610" s="2" t="s">
        <v>2</v>
      </c>
      <c r="D610" s="9">
        <f>ROUND(C12*815,0)</f>
        <v>5232</v>
      </c>
      <c r="E610" s="3" t="s">
        <v>3</v>
      </c>
      <c r="F610" s="11">
        <f>ROUND(C12*830,0)</f>
        <v>5329</v>
      </c>
      <c r="G610" s="4" t="s">
        <v>8</v>
      </c>
      <c r="H610" s="17" t="s">
        <v>23</v>
      </c>
    </row>
    <row r="611" spans="2:8" s="1" customFormat="1" ht="13.5" customHeight="1" x14ac:dyDescent="0.15">
      <c r="B611" s="33"/>
      <c r="C611" s="5" t="s">
        <v>4</v>
      </c>
      <c r="D611" s="9">
        <f>ROUND(C12*815,0)</f>
        <v>5232</v>
      </c>
      <c r="E611" s="6" t="s">
        <v>5</v>
      </c>
      <c r="F611" s="11">
        <f>ROUND(C12*830,0)</f>
        <v>5329</v>
      </c>
      <c r="G611" s="35">
        <v>100</v>
      </c>
      <c r="H611" s="17"/>
    </row>
    <row r="612" spans="2:8" s="1" customFormat="1" ht="13.5" customHeight="1" x14ac:dyDescent="0.15">
      <c r="B612" s="33"/>
      <c r="C612" s="7" t="s">
        <v>6</v>
      </c>
      <c r="D612" s="10">
        <v>5</v>
      </c>
      <c r="E612" s="8" t="s">
        <v>7</v>
      </c>
      <c r="F612" s="12">
        <f>ROUND(C12*530,0)</f>
        <v>3403</v>
      </c>
      <c r="G612" s="36"/>
      <c r="H612" s="17"/>
    </row>
    <row r="613" spans="2:8" s="1" customFormat="1" ht="14.25" thickBot="1" x14ac:dyDescent="0.2">
      <c r="B613" s="34"/>
      <c r="C613" s="18" t="s">
        <v>16</v>
      </c>
      <c r="D613" s="19" t="s">
        <v>413</v>
      </c>
      <c r="E613" s="20" t="s">
        <v>17</v>
      </c>
      <c r="F613" s="21" t="s">
        <v>52</v>
      </c>
      <c r="G613" s="22" t="s">
        <v>20</v>
      </c>
      <c r="H613" s="23" t="s">
        <v>37</v>
      </c>
    </row>
    <row r="614" spans="2:8" s="1" customFormat="1" x14ac:dyDescent="0.15">
      <c r="B614" s="13" t="s">
        <v>1</v>
      </c>
      <c r="C614" s="14" t="s">
        <v>0</v>
      </c>
      <c r="D614" s="29" t="s">
        <v>264</v>
      </c>
      <c r="E614" s="30"/>
      <c r="F614" s="31"/>
      <c r="G614" s="15" t="s">
        <v>57</v>
      </c>
      <c r="H614" s="16" t="s">
        <v>41</v>
      </c>
    </row>
    <row r="615" spans="2:8" s="1" customFormat="1" x14ac:dyDescent="0.15">
      <c r="B615" s="32">
        <v>100124</v>
      </c>
      <c r="C615" s="2" t="s">
        <v>2</v>
      </c>
      <c r="D615" s="9">
        <f>ROUND(C12*720,0)</f>
        <v>4622</v>
      </c>
      <c r="E615" s="3" t="s">
        <v>3</v>
      </c>
      <c r="F615" s="11">
        <f>ROUND(C12*1584,0)</f>
        <v>10169</v>
      </c>
      <c r="G615" s="4" t="s">
        <v>8</v>
      </c>
      <c r="H615" s="17" t="s">
        <v>25</v>
      </c>
    </row>
    <row r="616" spans="2:8" s="1" customFormat="1" ht="13.5" customHeight="1" x14ac:dyDescent="0.15">
      <c r="B616" s="33"/>
      <c r="C616" s="5" t="s">
        <v>4</v>
      </c>
      <c r="D616" s="9">
        <f>ROUND(C12*880,0)</f>
        <v>5650</v>
      </c>
      <c r="E616" s="6" t="s">
        <v>5</v>
      </c>
      <c r="F616" s="11">
        <f>ROUND(C12*1936,0)</f>
        <v>12429</v>
      </c>
      <c r="G616" s="35">
        <v>100</v>
      </c>
      <c r="H616" s="17"/>
    </row>
    <row r="617" spans="2:8" s="1" customFormat="1" ht="13.5" customHeight="1" x14ac:dyDescent="0.15">
      <c r="B617" s="33"/>
      <c r="C617" s="7" t="s">
        <v>6</v>
      </c>
      <c r="D617" s="10">
        <v>3</v>
      </c>
      <c r="E617" s="8" t="s">
        <v>7</v>
      </c>
      <c r="F617" s="12">
        <f>ROUND(C12*370,0)</f>
        <v>2375</v>
      </c>
      <c r="G617" s="36"/>
      <c r="H617" s="17"/>
    </row>
    <row r="618" spans="2:8" s="1" customFormat="1" ht="14.25" thickBot="1" x14ac:dyDescent="0.2">
      <c r="B618" s="34"/>
      <c r="C618" s="18" t="s">
        <v>16</v>
      </c>
      <c r="D618" s="19" t="s">
        <v>419</v>
      </c>
      <c r="E618" s="20" t="s">
        <v>17</v>
      </c>
      <c r="F618" s="21" t="s">
        <v>82</v>
      </c>
      <c r="G618" s="22" t="s">
        <v>20</v>
      </c>
      <c r="H618" s="23" t="s">
        <v>37</v>
      </c>
    </row>
    <row r="619" spans="2:8" s="1" customFormat="1" x14ac:dyDescent="0.15">
      <c r="B619" s="13" t="s">
        <v>1</v>
      </c>
      <c r="C619" s="14" t="s">
        <v>0</v>
      </c>
      <c r="D619" s="29" t="s">
        <v>265</v>
      </c>
      <c r="E619" s="30"/>
      <c r="F619" s="31"/>
      <c r="G619" s="15" t="s">
        <v>57</v>
      </c>
      <c r="H619" s="16" t="s">
        <v>108</v>
      </c>
    </row>
    <row r="620" spans="2:8" s="1" customFormat="1" x14ac:dyDescent="0.15">
      <c r="B620" s="32">
        <v>100125</v>
      </c>
      <c r="C620" s="2" t="s">
        <v>2</v>
      </c>
      <c r="D620" s="9">
        <f>ROUND(C12*720,0)</f>
        <v>4622</v>
      </c>
      <c r="E620" s="3" t="s">
        <v>3</v>
      </c>
      <c r="F620" s="11">
        <f>ROUND(C12*1584,0)</f>
        <v>10169</v>
      </c>
      <c r="G620" s="4" t="s">
        <v>8</v>
      </c>
      <c r="H620" s="17" t="s">
        <v>109</v>
      </c>
    </row>
    <row r="621" spans="2:8" s="1" customFormat="1" ht="13.5" customHeight="1" x14ac:dyDescent="0.15">
      <c r="B621" s="33"/>
      <c r="C621" s="5" t="s">
        <v>4</v>
      </c>
      <c r="D621" s="9">
        <f>ROUND(C12*880,0)</f>
        <v>5650</v>
      </c>
      <c r="E621" s="6" t="s">
        <v>5</v>
      </c>
      <c r="F621" s="11">
        <f>ROUND(C12*1936,0)</f>
        <v>12429</v>
      </c>
      <c r="G621" s="35">
        <v>100</v>
      </c>
      <c r="H621" s="17"/>
    </row>
    <row r="622" spans="2:8" s="1" customFormat="1" ht="13.5" customHeight="1" x14ac:dyDescent="0.15">
      <c r="B622" s="33"/>
      <c r="C622" s="7" t="s">
        <v>6</v>
      </c>
      <c r="D622" s="10">
        <v>3</v>
      </c>
      <c r="E622" s="8" t="s">
        <v>7</v>
      </c>
      <c r="F622" s="12">
        <f>ROUND(C12*530,0)</f>
        <v>3403</v>
      </c>
      <c r="G622" s="36"/>
      <c r="H622" s="17"/>
    </row>
    <row r="623" spans="2:8" s="1" customFormat="1" ht="14.25" thickBot="1" x14ac:dyDescent="0.2">
      <c r="B623" s="34"/>
      <c r="C623" s="18" t="s">
        <v>16</v>
      </c>
      <c r="D623" s="19" t="s">
        <v>393</v>
      </c>
      <c r="E623" s="20" t="s">
        <v>17</v>
      </c>
      <c r="F623" s="21" t="s">
        <v>52</v>
      </c>
      <c r="G623" s="22" t="s">
        <v>20</v>
      </c>
      <c r="H623" s="23" t="s">
        <v>37</v>
      </c>
    </row>
    <row r="624" spans="2:8" s="1" customFormat="1" x14ac:dyDescent="0.15">
      <c r="B624" s="13" t="s">
        <v>1</v>
      </c>
      <c r="C624" s="14" t="s">
        <v>0</v>
      </c>
      <c r="D624" s="29" t="s">
        <v>266</v>
      </c>
      <c r="E624" s="30"/>
      <c r="F624" s="31"/>
      <c r="G624" s="15" t="s">
        <v>57</v>
      </c>
      <c r="H624" s="16" t="s">
        <v>134</v>
      </c>
    </row>
    <row r="625" spans="2:8" s="1" customFormat="1" x14ac:dyDescent="0.15">
      <c r="B625" s="32">
        <v>100126</v>
      </c>
      <c r="C625" s="2" t="s">
        <v>2</v>
      </c>
      <c r="D625" s="9">
        <f>ROUND(C12*815,0)</f>
        <v>5232</v>
      </c>
      <c r="E625" s="3" t="s">
        <v>3</v>
      </c>
      <c r="F625" s="11">
        <f>ROUND(C12*830,0)</f>
        <v>5329</v>
      </c>
      <c r="G625" s="4" t="s">
        <v>8</v>
      </c>
      <c r="H625" s="17" t="s">
        <v>135</v>
      </c>
    </row>
    <row r="626" spans="2:8" s="1" customFormat="1" ht="13.5" customHeight="1" x14ac:dyDescent="0.15">
      <c r="B626" s="33"/>
      <c r="C626" s="5" t="s">
        <v>4</v>
      </c>
      <c r="D626" s="9">
        <f>ROUND(C12*815,0)</f>
        <v>5232</v>
      </c>
      <c r="E626" s="6" t="s">
        <v>5</v>
      </c>
      <c r="F626" s="11">
        <f>ROUND(C12*830,0)</f>
        <v>5329</v>
      </c>
      <c r="G626" s="35">
        <v>50</v>
      </c>
      <c r="H626" s="17"/>
    </row>
    <row r="627" spans="2:8" s="1" customFormat="1" ht="13.5" customHeight="1" x14ac:dyDescent="0.15">
      <c r="B627" s="33"/>
      <c r="C627" s="7" t="s">
        <v>6</v>
      </c>
      <c r="D627" s="10">
        <v>5</v>
      </c>
      <c r="E627" s="8" t="s">
        <v>7</v>
      </c>
      <c r="F627" s="12">
        <f>ROUND(C12*370,0)</f>
        <v>2375</v>
      </c>
      <c r="G627" s="36"/>
      <c r="H627" s="17"/>
    </row>
    <row r="628" spans="2:8" s="1" customFormat="1" ht="14.25" thickBot="1" x14ac:dyDescent="0.2">
      <c r="B628" s="34"/>
      <c r="C628" s="18" t="s">
        <v>16</v>
      </c>
      <c r="D628" s="19" t="s">
        <v>382</v>
      </c>
      <c r="E628" s="20" t="s">
        <v>17</v>
      </c>
      <c r="F628" s="21" t="s">
        <v>396</v>
      </c>
      <c r="G628" s="22" t="s">
        <v>20</v>
      </c>
      <c r="H628" s="23" t="s">
        <v>267</v>
      </c>
    </row>
    <row r="629" spans="2:8" s="1" customFormat="1" x14ac:dyDescent="0.15">
      <c r="B629" s="13" t="s">
        <v>1</v>
      </c>
      <c r="C629" s="14" t="s">
        <v>0</v>
      </c>
      <c r="D629" s="29" t="s">
        <v>268</v>
      </c>
      <c r="E629" s="30"/>
      <c r="F629" s="31"/>
      <c r="G629" s="15" t="s">
        <v>57</v>
      </c>
      <c r="H629" s="16" t="s">
        <v>55</v>
      </c>
    </row>
    <row r="630" spans="2:8" s="1" customFormat="1" x14ac:dyDescent="0.15">
      <c r="B630" s="32">
        <v>100127</v>
      </c>
      <c r="C630" s="2" t="s">
        <v>2</v>
      </c>
      <c r="D630" s="9">
        <f>ROUND(C12*815,0)</f>
        <v>5232</v>
      </c>
      <c r="E630" s="3" t="s">
        <v>3</v>
      </c>
      <c r="F630" s="11">
        <f>ROUND(C12*830,0)</f>
        <v>5329</v>
      </c>
      <c r="G630" s="4" t="s">
        <v>8</v>
      </c>
      <c r="H630" s="17" t="s">
        <v>30</v>
      </c>
    </row>
    <row r="631" spans="2:8" s="1" customFormat="1" ht="13.5" customHeight="1" x14ac:dyDescent="0.15">
      <c r="B631" s="33"/>
      <c r="C631" s="5" t="s">
        <v>4</v>
      </c>
      <c r="D631" s="9">
        <f>ROUND(C12*815,0)</f>
        <v>5232</v>
      </c>
      <c r="E631" s="6" t="s">
        <v>5</v>
      </c>
      <c r="F631" s="11">
        <f>ROUND(C12*830,0)</f>
        <v>5329</v>
      </c>
      <c r="G631" s="35">
        <v>100</v>
      </c>
      <c r="H631" s="17"/>
    </row>
    <row r="632" spans="2:8" s="1" customFormat="1" ht="13.5" customHeight="1" x14ac:dyDescent="0.15">
      <c r="B632" s="33"/>
      <c r="C632" s="7" t="s">
        <v>6</v>
      </c>
      <c r="D632" s="10">
        <v>5</v>
      </c>
      <c r="E632" s="8" t="s">
        <v>7</v>
      </c>
      <c r="F632" s="12">
        <f>ROUND(C12*480,0)</f>
        <v>3082</v>
      </c>
      <c r="G632" s="36"/>
      <c r="H632" s="17"/>
    </row>
    <row r="633" spans="2:8" s="1" customFormat="1" ht="14.25" thickBot="1" x14ac:dyDescent="0.2">
      <c r="B633" s="34"/>
      <c r="C633" s="18" t="s">
        <v>16</v>
      </c>
      <c r="D633" s="19" t="s">
        <v>422</v>
      </c>
      <c r="E633" s="20" t="s">
        <v>17</v>
      </c>
      <c r="F633" s="21" t="s">
        <v>293</v>
      </c>
      <c r="G633" s="22" t="s">
        <v>20</v>
      </c>
      <c r="H633" s="23" t="s">
        <v>37</v>
      </c>
    </row>
    <row r="634" spans="2:8" s="1" customFormat="1" x14ac:dyDescent="0.15">
      <c r="B634" s="13" t="s">
        <v>1</v>
      </c>
      <c r="C634" s="14" t="s">
        <v>0</v>
      </c>
      <c r="D634" s="29" t="s">
        <v>269</v>
      </c>
      <c r="E634" s="30"/>
      <c r="F634" s="31"/>
      <c r="G634" s="15" t="s">
        <v>57</v>
      </c>
      <c r="H634" s="16" t="s">
        <v>80</v>
      </c>
    </row>
    <row r="635" spans="2:8" s="1" customFormat="1" x14ac:dyDescent="0.15">
      <c r="B635" s="32">
        <v>100128</v>
      </c>
      <c r="C635" s="2" t="s">
        <v>2</v>
      </c>
      <c r="D635" s="9">
        <f>ROUND(C12*720,0)</f>
        <v>4622</v>
      </c>
      <c r="E635" s="3" t="s">
        <v>3</v>
      </c>
      <c r="F635" s="11">
        <f>ROUND(C12*1584,0)</f>
        <v>10169</v>
      </c>
      <c r="G635" s="4" t="s">
        <v>8</v>
      </c>
      <c r="H635" s="17" t="s">
        <v>81</v>
      </c>
    </row>
    <row r="636" spans="2:8" s="1" customFormat="1" ht="13.5" customHeight="1" x14ac:dyDescent="0.15">
      <c r="B636" s="33"/>
      <c r="C636" s="5" t="s">
        <v>4</v>
      </c>
      <c r="D636" s="9">
        <f>ROUND(C12*880,0)</f>
        <v>5650</v>
      </c>
      <c r="E636" s="6" t="s">
        <v>5</v>
      </c>
      <c r="F636" s="11">
        <f>ROUND(C12*1936,0)</f>
        <v>12429</v>
      </c>
      <c r="G636" s="35">
        <v>100</v>
      </c>
      <c r="H636" s="17"/>
    </row>
    <row r="637" spans="2:8" s="1" customFormat="1" ht="13.5" customHeight="1" x14ac:dyDescent="0.15">
      <c r="B637" s="33"/>
      <c r="C637" s="7" t="s">
        <v>6</v>
      </c>
      <c r="D637" s="10">
        <v>3</v>
      </c>
      <c r="E637" s="8" t="s">
        <v>7</v>
      </c>
      <c r="F637" s="12">
        <f>ROUND(C12*530,0)</f>
        <v>3403</v>
      </c>
      <c r="G637" s="36"/>
      <c r="H637" s="17"/>
    </row>
    <row r="638" spans="2:8" s="1" customFormat="1" ht="14.25" thickBot="1" x14ac:dyDescent="0.2">
      <c r="B638" s="34"/>
      <c r="C638" s="18" t="s">
        <v>16</v>
      </c>
      <c r="D638" s="19" t="s">
        <v>402</v>
      </c>
      <c r="E638" s="20" t="s">
        <v>17</v>
      </c>
      <c r="F638" s="21" t="s">
        <v>51</v>
      </c>
      <c r="G638" s="22" t="s">
        <v>20</v>
      </c>
      <c r="H638" s="23" t="s">
        <v>37</v>
      </c>
    </row>
    <row r="639" spans="2:8" s="1" customFormat="1" x14ac:dyDescent="0.15">
      <c r="B639" s="13" t="s">
        <v>1</v>
      </c>
      <c r="C639" s="14" t="s">
        <v>0</v>
      </c>
      <c r="D639" s="29" t="s">
        <v>270</v>
      </c>
      <c r="E639" s="30"/>
      <c r="F639" s="31"/>
      <c r="G639" s="15" t="s">
        <v>57</v>
      </c>
      <c r="H639" s="16" t="s">
        <v>116</v>
      </c>
    </row>
    <row r="640" spans="2:8" s="1" customFormat="1" x14ac:dyDescent="0.15">
      <c r="B640" s="32">
        <v>100129</v>
      </c>
      <c r="C640" s="2" t="s">
        <v>2</v>
      </c>
      <c r="D640" s="9">
        <f>ROUND(C12*720,0)</f>
        <v>4622</v>
      </c>
      <c r="E640" s="3" t="s">
        <v>3</v>
      </c>
      <c r="F640" s="11">
        <f>ROUND(C12*720,0)</f>
        <v>4622</v>
      </c>
      <c r="G640" s="4" t="s">
        <v>8</v>
      </c>
      <c r="H640" s="17" t="s">
        <v>117</v>
      </c>
    </row>
    <row r="641" spans="2:8" s="1" customFormat="1" ht="13.5" customHeight="1" x14ac:dyDescent="0.15">
      <c r="B641" s="33"/>
      <c r="C641" s="5" t="s">
        <v>4</v>
      </c>
      <c r="D641" s="9">
        <f>ROUND(C12*880,0)</f>
        <v>5650</v>
      </c>
      <c r="E641" s="6" t="s">
        <v>5</v>
      </c>
      <c r="F641" s="11">
        <f>ROUND(C12*880,0)</f>
        <v>5650</v>
      </c>
      <c r="G641" s="35">
        <v>100</v>
      </c>
      <c r="H641" s="17"/>
    </row>
    <row r="642" spans="2:8" s="1" customFormat="1" ht="13.5" customHeight="1" x14ac:dyDescent="0.15">
      <c r="B642" s="33"/>
      <c r="C642" s="7" t="s">
        <v>6</v>
      </c>
      <c r="D642" s="10">
        <v>5</v>
      </c>
      <c r="E642" s="8" t="s">
        <v>7</v>
      </c>
      <c r="F642" s="12">
        <f>ROUND(C12*370,0)</f>
        <v>2375</v>
      </c>
      <c r="G642" s="36"/>
      <c r="H642" s="17"/>
    </row>
    <row r="643" spans="2:8" s="1" customFormat="1" ht="14.25" thickBot="1" x14ac:dyDescent="0.2">
      <c r="B643" s="34"/>
      <c r="C643" s="18" t="s">
        <v>16</v>
      </c>
      <c r="D643" s="19" t="s">
        <v>428</v>
      </c>
      <c r="E643" s="20" t="s">
        <v>17</v>
      </c>
      <c r="F643" s="21" t="s">
        <v>56</v>
      </c>
      <c r="G643" s="22" t="s">
        <v>20</v>
      </c>
      <c r="H643" s="23" t="s">
        <v>37</v>
      </c>
    </row>
    <row r="644" spans="2:8" s="1" customFormat="1" x14ac:dyDescent="0.15">
      <c r="B644" s="13" t="s">
        <v>1</v>
      </c>
      <c r="C644" s="14" t="s">
        <v>0</v>
      </c>
      <c r="D644" s="29" t="s">
        <v>271</v>
      </c>
      <c r="E644" s="30"/>
      <c r="F644" s="31"/>
      <c r="G644" s="15" t="s">
        <v>57</v>
      </c>
      <c r="H644" s="16" t="s">
        <v>128</v>
      </c>
    </row>
    <row r="645" spans="2:8" s="1" customFormat="1" x14ac:dyDescent="0.15">
      <c r="B645" s="32">
        <v>100130</v>
      </c>
      <c r="C645" s="2" t="s">
        <v>2</v>
      </c>
      <c r="D645" s="9">
        <f>ROUND(C12*720,0)</f>
        <v>4622</v>
      </c>
      <c r="E645" s="3" t="s">
        <v>3</v>
      </c>
      <c r="F645" s="11">
        <f>ROUND(C12*1584,0)</f>
        <v>10169</v>
      </c>
      <c r="G645" s="4" t="s">
        <v>8</v>
      </c>
      <c r="H645" s="17" t="s">
        <v>129</v>
      </c>
    </row>
    <row r="646" spans="2:8" s="1" customFormat="1" ht="13.5" customHeight="1" x14ac:dyDescent="0.15">
      <c r="B646" s="33"/>
      <c r="C646" s="5" t="s">
        <v>4</v>
      </c>
      <c r="D646" s="9">
        <f>ROUND(C12*880,0)</f>
        <v>5650</v>
      </c>
      <c r="E646" s="6" t="s">
        <v>5</v>
      </c>
      <c r="F646" s="11">
        <f>ROUND(C12*1936,0)</f>
        <v>12429</v>
      </c>
      <c r="G646" s="35">
        <v>100</v>
      </c>
      <c r="H646" s="17"/>
    </row>
    <row r="647" spans="2:8" s="1" customFormat="1" ht="13.5" customHeight="1" x14ac:dyDescent="0.15">
      <c r="B647" s="33"/>
      <c r="C647" s="7" t="s">
        <v>6</v>
      </c>
      <c r="D647" s="10">
        <v>3</v>
      </c>
      <c r="E647" s="8" t="s">
        <v>7</v>
      </c>
      <c r="F647" s="12">
        <f>ROUND(C12*480,0)</f>
        <v>3082</v>
      </c>
      <c r="G647" s="36"/>
      <c r="H647" s="17"/>
    </row>
    <row r="648" spans="2:8" s="1" customFormat="1" ht="14.25" thickBot="1" x14ac:dyDescent="0.2">
      <c r="B648" s="34"/>
      <c r="C648" s="18" t="s">
        <v>16</v>
      </c>
      <c r="D648" s="19" t="s">
        <v>431</v>
      </c>
      <c r="E648" s="20" t="s">
        <v>17</v>
      </c>
      <c r="F648" s="21" t="s">
        <v>49</v>
      </c>
      <c r="G648" s="22" t="s">
        <v>20</v>
      </c>
      <c r="H648" s="23" t="s">
        <v>37</v>
      </c>
    </row>
    <row r="649" spans="2:8" s="1" customFormat="1" x14ac:dyDescent="0.15">
      <c r="B649" s="13" t="s">
        <v>1</v>
      </c>
      <c r="C649" s="14" t="s">
        <v>0</v>
      </c>
      <c r="D649" s="29" t="s">
        <v>272</v>
      </c>
      <c r="E649" s="30"/>
      <c r="F649" s="31"/>
      <c r="G649" s="15" t="s">
        <v>57</v>
      </c>
      <c r="H649" s="16" t="s">
        <v>139</v>
      </c>
    </row>
    <row r="650" spans="2:8" s="1" customFormat="1" x14ac:dyDescent="0.15">
      <c r="B650" s="32">
        <v>100131</v>
      </c>
      <c r="C650" s="2" t="s">
        <v>2</v>
      </c>
      <c r="D650" s="9">
        <f>ROUND(C12*815,0)</f>
        <v>5232</v>
      </c>
      <c r="E650" s="3" t="s">
        <v>3</v>
      </c>
      <c r="F650" s="11">
        <f>ROUND(C12*830,0)</f>
        <v>5329</v>
      </c>
      <c r="G650" s="4" t="s">
        <v>8</v>
      </c>
      <c r="H650" s="17" t="s">
        <v>140</v>
      </c>
    </row>
    <row r="651" spans="2:8" s="1" customFormat="1" ht="13.5" customHeight="1" x14ac:dyDescent="0.15">
      <c r="B651" s="33"/>
      <c r="C651" s="5" t="s">
        <v>4</v>
      </c>
      <c r="D651" s="9">
        <f>ROUND(C12*815,0)</f>
        <v>5232</v>
      </c>
      <c r="E651" s="6" t="s">
        <v>5</v>
      </c>
      <c r="F651" s="11">
        <f>ROUND(C12*830,0)</f>
        <v>5329</v>
      </c>
      <c r="G651" s="35">
        <v>50</v>
      </c>
      <c r="H651" s="17"/>
    </row>
    <row r="652" spans="2:8" s="1" customFormat="1" ht="13.5" customHeight="1" x14ac:dyDescent="0.15">
      <c r="B652" s="33"/>
      <c r="C652" s="7" t="s">
        <v>6</v>
      </c>
      <c r="D652" s="10">
        <v>5</v>
      </c>
      <c r="E652" s="8" t="s">
        <v>7</v>
      </c>
      <c r="F652" s="12">
        <f>ROUND(C12*530,0)</f>
        <v>3403</v>
      </c>
      <c r="G652" s="36"/>
      <c r="H652" s="17"/>
    </row>
    <row r="653" spans="2:8" s="1" customFormat="1" ht="14.25" thickBot="1" x14ac:dyDescent="0.2">
      <c r="B653" s="34"/>
      <c r="C653" s="18" t="s">
        <v>16</v>
      </c>
      <c r="D653" s="19" t="s">
        <v>432</v>
      </c>
      <c r="E653" s="20" t="s">
        <v>17</v>
      </c>
      <c r="F653" s="21" t="s">
        <v>93</v>
      </c>
      <c r="G653" s="22" t="s">
        <v>20</v>
      </c>
      <c r="H653" s="23" t="s">
        <v>37</v>
      </c>
    </row>
    <row r="654" spans="2:8" s="1" customFormat="1" x14ac:dyDescent="0.15">
      <c r="B654" s="13" t="s">
        <v>1</v>
      </c>
      <c r="C654" s="14" t="s">
        <v>0</v>
      </c>
      <c r="D654" s="29" t="s">
        <v>273</v>
      </c>
      <c r="E654" s="30"/>
      <c r="F654" s="31"/>
      <c r="G654" s="15" t="s">
        <v>57</v>
      </c>
      <c r="H654" s="16" t="s">
        <v>35</v>
      </c>
    </row>
    <row r="655" spans="2:8" s="1" customFormat="1" x14ac:dyDescent="0.15">
      <c r="B655" s="32">
        <v>100132</v>
      </c>
      <c r="C655" s="2" t="s">
        <v>2</v>
      </c>
      <c r="D655" s="9">
        <f>ROUND(C12*815,0)</f>
        <v>5232</v>
      </c>
      <c r="E655" s="3" t="s">
        <v>3</v>
      </c>
      <c r="F655" s="11">
        <f>ROUND(C12*830,0)</f>
        <v>5329</v>
      </c>
      <c r="G655" s="4" t="s">
        <v>8</v>
      </c>
      <c r="H655" s="17" t="s">
        <v>23</v>
      </c>
    </row>
    <row r="656" spans="2:8" s="1" customFormat="1" ht="13.5" customHeight="1" x14ac:dyDescent="0.15">
      <c r="B656" s="33"/>
      <c r="C656" s="5" t="s">
        <v>4</v>
      </c>
      <c r="D656" s="9">
        <f>ROUND(C12*815,0)</f>
        <v>5232</v>
      </c>
      <c r="E656" s="6" t="s">
        <v>5</v>
      </c>
      <c r="F656" s="11">
        <f>ROUND(C12*830,0)</f>
        <v>5329</v>
      </c>
      <c r="G656" s="35">
        <v>100</v>
      </c>
      <c r="H656" s="17"/>
    </row>
    <row r="657" spans="2:8" s="1" customFormat="1" ht="13.5" customHeight="1" x14ac:dyDescent="0.15">
      <c r="B657" s="33"/>
      <c r="C657" s="7" t="s">
        <v>6</v>
      </c>
      <c r="D657" s="10">
        <v>5</v>
      </c>
      <c r="E657" s="8" t="s">
        <v>7</v>
      </c>
      <c r="F657" s="12">
        <f>ROUND(C12*370,0)</f>
        <v>2375</v>
      </c>
      <c r="G657" s="36"/>
      <c r="H657" s="17"/>
    </row>
    <row r="658" spans="2:8" s="1" customFormat="1" ht="14.25" thickBot="1" x14ac:dyDescent="0.2">
      <c r="B658" s="34"/>
      <c r="C658" s="18" t="s">
        <v>16</v>
      </c>
      <c r="D658" s="19" t="s">
        <v>395</v>
      </c>
      <c r="E658" s="20" t="s">
        <v>17</v>
      </c>
      <c r="F658" s="21" t="s">
        <v>396</v>
      </c>
      <c r="G658" s="22" t="s">
        <v>20</v>
      </c>
      <c r="H658" s="23" t="s">
        <v>37</v>
      </c>
    </row>
    <row r="659" spans="2:8" s="1" customFormat="1" x14ac:dyDescent="0.15">
      <c r="B659" s="13" t="s">
        <v>1</v>
      </c>
      <c r="C659" s="14" t="s">
        <v>0</v>
      </c>
      <c r="D659" s="29" t="s">
        <v>274</v>
      </c>
      <c r="E659" s="30"/>
      <c r="F659" s="31"/>
      <c r="G659" s="15" t="s">
        <v>57</v>
      </c>
      <c r="H659" s="16" t="s">
        <v>41</v>
      </c>
    </row>
    <row r="660" spans="2:8" s="1" customFormat="1" x14ac:dyDescent="0.15">
      <c r="B660" s="32">
        <v>100133</v>
      </c>
      <c r="C660" s="2" t="s">
        <v>2</v>
      </c>
      <c r="D660" s="9">
        <f>ROUND(C12*720,0)</f>
        <v>4622</v>
      </c>
      <c r="E660" s="3" t="s">
        <v>3</v>
      </c>
      <c r="F660" s="11">
        <f>ROUND(C12*1584,0)</f>
        <v>10169</v>
      </c>
      <c r="G660" s="4" t="s">
        <v>8</v>
      </c>
      <c r="H660" s="17" t="s">
        <v>25</v>
      </c>
    </row>
    <row r="661" spans="2:8" s="1" customFormat="1" ht="13.5" customHeight="1" x14ac:dyDescent="0.15">
      <c r="B661" s="33"/>
      <c r="C661" s="5" t="s">
        <v>4</v>
      </c>
      <c r="D661" s="9">
        <f>ROUND(C12*880,0)</f>
        <v>5650</v>
      </c>
      <c r="E661" s="6" t="s">
        <v>5</v>
      </c>
      <c r="F661" s="11">
        <f>ROUND(C12*1936,0)</f>
        <v>12429</v>
      </c>
      <c r="G661" s="35">
        <v>100</v>
      </c>
      <c r="H661" s="17"/>
    </row>
    <row r="662" spans="2:8" s="1" customFormat="1" ht="13.5" customHeight="1" x14ac:dyDescent="0.15">
      <c r="B662" s="33"/>
      <c r="C662" s="7" t="s">
        <v>6</v>
      </c>
      <c r="D662" s="10">
        <v>3</v>
      </c>
      <c r="E662" s="8" t="s">
        <v>7</v>
      </c>
      <c r="F662" s="12">
        <f>ROUND(C12*480,0)</f>
        <v>3082</v>
      </c>
      <c r="G662" s="36"/>
      <c r="H662" s="17"/>
    </row>
    <row r="663" spans="2:8" s="1" customFormat="1" ht="14.25" thickBot="1" x14ac:dyDescent="0.2">
      <c r="B663" s="34"/>
      <c r="C663" s="18" t="s">
        <v>16</v>
      </c>
      <c r="D663" s="19" t="s">
        <v>376</v>
      </c>
      <c r="E663" s="20" t="s">
        <v>17</v>
      </c>
      <c r="F663" s="21" t="s">
        <v>52</v>
      </c>
      <c r="G663" s="22" t="s">
        <v>20</v>
      </c>
      <c r="H663" s="23" t="s">
        <v>37</v>
      </c>
    </row>
    <row r="664" spans="2:8" s="1" customFormat="1" x14ac:dyDescent="0.15">
      <c r="B664" s="13" t="s">
        <v>1</v>
      </c>
      <c r="C664" s="14" t="s">
        <v>0</v>
      </c>
      <c r="D664" s="29" t="s">
        <v>275</v>
      </c>
      <c r="E664" s="30"/>
      <c r="F664" s="31"/>
      <c r="G664" s="15" t="s">
        <v>57</v>
      </c>
      <c r="H664" s="16" t="s">
        <v>131</v>
      </c>
    </row>
    <row r="665" spans="2:8" s="1" customFormat="1" x14ac:dyDescent="0.15">
      <c r="B665" s="32">
        <v>100134</v>
      </c>
      <c r="C665" s="2" t="s">
        <v>2</v>
      </c>
      <c r="D665" s="9">
        <f>ROUND(C12*720,0)</f>
        <v>4622</v>
      </c>
      <c r="E665" s="3" t="s">
        <v>3</v>
      </c>
      <c r="F665" s="11">
        <f>ROUND(C12*720,0)</f>
        <v>4622</v>
      </c>
      <c r="G665" s="4" t="s">
        <v>8</v>
      </c>
      <c r="H665" s="17" t="s">
        <v>132</v>
      </c>
    </row>
    <row r="666" spans="2:8" s="1" customFormat="1" ht="13.5" customHeight="1" x14ac:dyDescent="0.15">
      <c r="B666" s="33"/>
      <c r="C666" s="5" t="s">
        <v>4</v>
      </c>
      <c r="D666" s="9">
        <f>ROUND(C12*880,0)</f>
        <v>5650</v>
      </c>
      <c r="E666" s="6" t="s">
        <v>5</v>
      </c>
      <c r="F666" s="11">
        <f>ROUND(C12*880,0)</f>
        <v>5650</v>
      </c>
      <c r="G666" s="35">
        <v>100</v>
      </c>
      <c r="H666" s="17"/>
    </row>
    <row r="667" spans="2:8" s="1" customFormat="1" ht="13.5" customHeight="1" x14ac:dyDescent="0.15">
      <c r="B667" s="33"/>
      <c r="C667" s="7" t="s">
        <v>6</v>
      </c>
      <c r="D667" s="10">
        <v>5</v>
      </c>
      <c r="E667" s="8" t="s">
        <v>7</v>
      </c>
      <c r="F667" s="12">
        <f>ROUND(C12*530,0)</f>
        <v>3403</v>
      </c>
      <c r="G667" s="36"/>
      <c r="H667" s="17"/>
    </row>
    <row r="668" spans="2:8" s="1" customFormat="1" ht="14.25" thickBot="1" x14ac:dyDescent="0.2">
      <c r="B668" s="34"/>
      <c r="C668" s="18" t="s">
        <v>16</v>
      </c>
      <c r="D668" s="19" t="s">
        <v>416</v>
      </c>
      <c r="E668" s="20" t="s">
        <v>17</v>
      </c>
      <c r="F668" s="21" t="s">
        <v>93</v>
      </c>
      <c r="G668" s="22" t="s">
        <v>20</v>
      </c>
      <c r="H668" s="23" t="s">
        <v>37</v>
      </c>
    </row>
    <row r="669" spans="2:8" s="1" customFormat="1" x14ac:dyDescent="0.15">
      <c r="B669" s="13" t="s">
        <v>1</v>
      </c>
      <c r="C669" s="14" t="s">
        <v>0</v>
      </c>
      <c r="D669" s="29" t="s">
        <v>276</v>
      </c>
      <c r="E669" s="30"/>
      <c r="F669" s="31"/>
      <c r="G669" s="15" t="s">
        <v>57</v>
      </c>
      <c r="H669" s="16" t="s">
        <v>146</v>
      </c>
    </row>
    <row r="670" spans="2:8" s="1" customFormat="1" x14ac:dyDescent="0.15">
      <c r="B670" s="32">
        <v>100135</v>
      </c>
      <c r="C670" s="2" t="s">
        <v>2</v>
      </c>
      <c r="D670" s="9">
        <f>ROUND(C12*720,0)</f>
        <v>4622</v>
      </c>
      <c r="E670" s="3" t="s">
        <v>3</v>
      </c>
      <c r="F670" s="11">
        <f>ROUND(C12*1584,0)</f>
        <v>10169</v>
      </c>
      <c r="G670" s="4" t="s">
        <v>8</v>
      </c>
      <c r="H670" s="17" t="s">
        <v>147</v>
      </c>
    </row>
    <row r="671" spans="2:8" s="1" customFormat="1" ht="13.5" customHeight="1" x14ac:dyDescent="0.15">
      <c r="B671" s="33"/>
      <c r="C671" s="5" t="s">
        <v>4</v>
      </c>
      <c r="D671" s="9">
        <f>ROUND(C12*880,0)</f>
        <v>5650</v>
      </c>
      <c r="E671" s="6" t="s">
        <v>5</v>
      </c>
      <c r="F671" s="11">
        <f>ROUND(C12*1936,0)</f>
        <v>12429</v>
      </c>
      <c r="G671" s="35">
        <v>100</v>
      </c>
      <c r="H671" s="17"/>
    </row>
    <row r="672" spans="2:8" s="1" customFormat="1" ht="13.5" customHeight="1" x14ac:dyDescent="0.15">
      <c r="B672" s="33"/>
      <c r="C672" s="7" t="s">
        <v>6</v>
      </c>
      <c r="D672" s="10">
        <v>3</v>
      </c>
      <c r="E672" s="8" t="s">
        <v>7</v>
      </c>
      <c r="F672" s="12">
        <f>ROUND(C12*370,0)</f>
        <v>2375</v>
      </c>
      <c r="G672" s="36"/>
      <c r="H672" s="17"/>
    </row>
    <row r="673" spans="2:8" s="1" customFormat="1" ht="14.25" thickBot="1" x14ac:dyDescent="0.2">
      <c r="B673" s="34"/>
      <c r="C673" s="18" t="s">
        <v>16</v>
      </c>
      <c r="D673" s="19" t="s">
        <v>429</v>
      </c>
      <c r="E673" s="20" t="s">
        <v>17</v>
      </c>
      <c r="F673" s="21" t="s">
        <v>218</v>
      </c>
      <c r="G673" s="22" t="s">
        <v>20</v>
      </c>
      <c r="H673" s="23" t="s">
        <v>37</v>
      </c>
    </row>
    <row r="674" spans="2:8" s="1" customFormat="1" x14ac:dyDescent="0.15">
      <c r="B674" s="13" t="s">
        <v>1</v>
      </c>
      <c r="C674" s="14" t="s">
        <v>0</v>
      </c>
      <c r="D674" s="29" t="s">
        <v>277</v>
      </c>
      <c r="E674" s="30"/>
      <c r="F674" s="31"/>
      <c r="G674" s="15" t="s">
        <v>57</v>
      </c>
      <c r="H674" s="16" t="s">
        <v>167</v>
      </c>
    </row>
    <row r="675" spans="2:8" s="1" customFormat="1" x14ac:dyDescent="0.15">
      <c r="B675" s="32">
        <v>100136</v>
      </c>
      <c r="C675" s="2" t="s">
        <v>2</v>
      </c>
      <c r="D675" s="9">
        <f>ROUND(C12*815,0)</f>
        <v>5232</v>
      </c>
      <c r="E675" s="3" t="s">
        <v>3</v>
      </c>
      <c r="F675" s="11">
        <f>ROUND(C12*830,0)</f>
        <v>5329</v>
      </c>
      <c r="G675" s="4" t="s">
        <v>8</v>
      </c>
      <c r="H675" s="17" t="s">
        <v>168</v>
      </c>
    </row>
    <row r="676" spans="2:8" s="1" customFormat="1" ht="13.5" customHeight="1" x14ac:dyDescent="0.15">
      <c r="B676" s="33"/>
      <c r="C676" s="5" t="s">
        <v>4</v>
      </c>
      <c r="D676" s="9">
        <f>ROUND(C12*815,0)</f>
        <v>5232</v>
      </c>
      <c r="E676" s="6" t="s">
        <v>5</v>
      </c>
      <c r="F676" s="11">
        <f>ROUND(C12*830,0)</f>
        <v>5329</v>
      </c>
      <c r="G676" s="35">
        <v>50</v>
      </c>
      <c r="H676" s="17"/>
    </row>
    <row r="677" spans="2:8" s="1" customFormat="1" ht="13.5" customHeight="1" x14ac:dyDescent="0.15">
      <c r="B677" s="33"/>
      <c r="C677" s="7" t="s">
        <v>6</v>
      </c>
      <c r="D677" s="10">
        <v>5</v>
      </c>
      <c r="E677" s="8" t="s">
        <v>7</v>
      </c>
      <c r="F677" s="12">
        <f>ROUND(C12*480,0)</f>
        <v>3082</v>
      </c>
      <c r="G677" s="36"/>
      <c r="H677" s="17"/>
    </row>
    <row r="678" spans="2:8" s="1" customFormat="1" ht="14.25" thickBot="1" x14ac:dyDescent="0.2">
      <c r="B678" s="34"/>
      <c r="C678" s="18" t="s">
        <v>16</v>
      </c>
      <c r="D678" s="19" t="s">
        <v>419</v>
      </c>
      <c r="E678" s="20" t="s">
        <v>17</v>
      </c>
      <c r="F678" s="21" t="s">
        <v>33</v>
      </c>
      <c r="G678" s="22" t="s">
        <v>20</v>
      </c>
      <c r="H678" s="23" t="s">
        <v>278</v>
      </c>
    </row>
    <row r="679" spans="2:8" s="1" customFormat="1" x14ac:dyDescent="0.15">
      <c r="B679" s="13" t="s">
        <v>1</v>
      </c>
      <c r="C679" s="14" t="s">
        <v>0</v>
      </c>
      <c r="D679" s="29" t="s">
        <v>279</v>
      </c>
      <c r="E679" s="30"/>
      <c r="F679" s="31"/>
      <c r="G679" s="15" t="s">
        <v>57</v>
      </c>
      <c r="H679" s="16" t="s">
        <v>55</v>
      </c>
    </row>
    <row r="680" spans="2:8" s="1" customFormat="1" x14ac:dyDescent="0.15">
      <c r="B680" s="32">
        <v>100137</v>
      </c>
      <c r="C680" s="2" t="s">
        <v>2</v>
      </c>
      <c r="D680" s="9">
        <f>ROUND(C12*815,0)</f>
        <v>5232</v>
      </c>
      <c r="E680" s="3" t="s">
        <v>3</v>
      </c>
      <c r="F680" s="11">
        <f>ROUND(C12*830,0)</f>
        <v>5329</v>
      </c>
      <c r="G680" s="4" t="s">
        <v>8</v>
      </c>
      <c r="H680" s="17" t="s">
        <v>30</v>
      </c>
    </row>
    <row r="681" spans="2:8" s="1" customFormat="1" ht="13.5" customHeight="1" x14ac:dyDescent="0.15">
      <c r="B681" s="33"/>
      <c r="C681" s="5" t="s">
        <v>4</v>
      </c>
      <c r="D681" s="9">
        <f>ROUND(C12*815,0)</f>
        <v>5232</v>
      </c>
      <c r="E681" s="6" t="s">
        <v>5</v>
      </c>
      <c r="F681" s="11">
        <f>ROUND(C12*830,0)</f>
        <v>5329</v>
      </c>
      <c r="G681" s="35">
        <v>100</v>
      </c>
      <c r="H681" s="17"/>
    </row>
    <row r="682" spans="2:8" s="1" customFormat="1" ht="13.5" customHeight="1" x14ac:dyDescent="0.15">
      <c r="B682" s="33"/>
      <c r="C682" s="7" t="s">
        <v>6</v>
      </c>
      <c r="D682" s="10">
        <v>5</v>
      </c>
      <c r="E682" s="8" t="s">
        <v>7</v>
      </c>
      <c r="F682" s="12">
        <f>ROUND(C12*530,0)</f>
        <v>3403</v>
      </c>
      <c r="G682" s="36"/>
      <c r="H682" s="17"/>
    </row>
    <row r="683" spans="2:8" s="1" customFormat="1" ht="14.25" thickBot="1" x14ac:dyDescent="0.2">
      <c r="B683" s="34"/>
      <c r="C683" s="18" t="s">
        <v>16</v>
      </c>
      <c r="D683" s="19" t="s">
        <v>411</v>
      </c>
      <c r="E683" s="20" t="s">
        <v>17</v>
      </c>
      <c r="F683" s="21" t="s">
        <v>392</v>
      </c>
      <c r="G683" s="22" t="s">
        <v>20</v>
      </c>
      <c r="H683" s="23" t="s">
        <v>37</v>
      </c>
    </row>
    <row r="684" spans="2:8" s="1" customFormat="1" x14ac:dyDescent="0.15">
      <c r="B684" s="13" t="s">
        <v>1</v>
      </c>
      <c r="C684" s="14" t="s">
        <v>0</v>
      </c>
      <c r="D684" s="29" t="s">
        <v>280</v>
      </c>
      <c r="E684" s="30"/>
      <c r="F684" s="31"/>
      <c r="G684" s="15" t="s">
        <v>57</v>
      </c>
      <c r="H684" s="16" t="s">
        <v>80</v>
      </c>
    </row>
    <row r="685" spans="2:8" s="1" customFormat="1" x14ac:dyDescent="0.15">
      <c r="B685" s="32">
        <v>100138</v>
      </c>
      <c r="C685" s="2" t="s">
        <v>2</v>
      </c>
      <c r="D685" s="9">
        <f>ROUND(C12*720,0)</f>
        <v>4622</v>
      </c>
      <c r="E685" s="3" t="s">
        <v>3</v>
      </c>
      <c r="F685" s="11">
        <f>ROUND(C12*1584,0)</f>
        <v>10169</v>
      </c>
      <c r="G685" s="4" t="s">
        <v>8</v>
      </c>
      <c r="H685" s="17" t="s">
        <v>81</v>
      </c>
    </row>
    <row r="686" spans="2:8" s="1" customFormat="1" ht="13.5" customHeight="1" x14ac:dyDescent="0.15">
      <c r="B686" s="33"/>
      <c r="C686" s="5" t="s">
        <v>4</v>
      </c>
      <c r="D686" s="9">
        <f>ROUND(C12*880,0)</f>
        <v>5650</v>
      </c>
      <c r="E686" s="6" t="s">
        <v>5</v>
      </c>
      <c r="F686" s="11">
        <f>ROUND(C12*1936,0)</f>
        <v>12429</v>
      </c>
      <c r="G686" s="35">
        <v>100</v>
      </c>
      <c r="H686" s="17"/>
    </row>
    <row r="687" spans="2:8" s="1" customFormat="1" ht="13.5" customHeight="1" x14ac:dyDescent="0.15">
      <c r="B687" s="33"/>
      <c r="C687" s="7" t="s">
        <v>6</v>
      </c>
      <c r="D687" s="10">
        <v>3</v>
      </c>
      <c r="E687" s="8" t="s">
        <v>7</v>
      </c>
      <c r="F687" s="12">
        <f>ROUND(C12*370,0)</f>
        <v>2375</v>
      </c>
      <c r="G687" s="36"/>
      <c r="H687" s="17"/>
    </row>
    <row r="688" spans="2:8" s="1" customFormat="1" ht="14.25" thickBot="1" x14ac:dyDescent="0.2">
      <c r="B688" s="34"/>
      <c r="C688" s="18" t="s">
        <v>16</v>
      </c>
      <c r="D688" s="19" t="s">
        <v>433</v>
      </c>
      <c r="E688" s="20" t="s">
        <v>17</v>
      </c>
      <c r="F688" s="21" t="s">
        <v>71</v>
      </c>
      <c r="G688" s="22" t="s">
        <v>20</v>
      </c>
      <c r="H688" s="23" t="s">
        <v>37</v>
      </c>
    </row>
    <row r="689" spans="2:8" s="1" customFormat="1" x14ac:dyDescent="0.15">
      <c r="B689" s="13" t="s">
        <v>1</v>
      </c>
      <c r="C689" s="14" t="s">
        <v>0</v>
      </c>
      <c r="D689" s="29" t="s">
        <v>281</v>
      </c>
      <c r="E689" s="30"/>
      <c r="F689" s="31"/>
      <c r="G689" s="15" t="s">
        <v>57</v>
      </c>
      <c r="H689" s="16" t="s">
        <v>44</v>
      </c>
    </row>
    <row r="690" spans="2:8" s="1" customFormat="1" x14ac:dyDescent="0.15">
      <c r="B690" s="32">
        <v>100139</v>
      </c>
      <c r="C690" s="2" t="s">
        <v>2</v>
      </c>
      <c r="D690" s="9">
        <f>ROUND(C12*720,0)</f>
        <v>4622</v>
      </c>
      <c r="E690" s="3" t="s">
        <v>3</v>
      </c>
      <c r="F690" s="11">
        <f>ROUND(C12*720,0)</f>
        <v>4622</v>
      </c>
      <c r="G690" s="4" t="s">
        <v>8</v>
      </c>
      <c r="H690" s="17" t="s">
        <v>26</v>
      </c>
    </row>
    <row r="691" spans="2:8" s="1" customFormat="1" ht="13.5" customHeight="1" x14ac:dyDescent="0.15">
      <c r="B691" s="33"/>
      <c r="C691" s="5" t="s">
        <v>4</v>
      </c>
      <c r="D691" s="9">
        <f>ROUND(C12*880,0)</f>
        <v>5650</v>
      </c>
      <c r="E691" s="6" t="s">
        <v>5</v>
      </c>
      <c r="F691" s="11">
        <f>ROUND(C12*880,0)</f>
        <v>5650</v>
      </c>
      <c r="G691" s="35">
        <v>100</v>
      </c>
      <c r="H691" s="17"/>
    </row>
    <row r="692" spans="2:8" s="1" customFormat="1" ht="13.5" customHeight="1" x14ac:dyDescent="0.15">
      <c r="B692" s="33"/>
      <c r="C692" s="7" t="s">
        <v>6</v>
      </c>
      <c r="D692" s="10">
        <v>5</v>
      </c>
      <c r="E692" s="8" t="s">
        <v>7</v>
      </c>
      <c r="F692" s="12">
        <f>ROUND(C12*480,0)</f>
        <v>3082</v>
      </c>
      <c r="G692" s="36"/>
      <c r="H692" s="17"/>
    </row>
    <row r="693" spans="2:8" s="1" customFormat="1" ht="14.25" thickBot="1" x14ac:dyDescent="0.2">
      <c r="B693" s="34"/>
      <c r="C693" s="18" t="s">
        <v>16</v>
      </c>
      <c r="D693" s="19" t="s">
        <v>382</v>
      </c>
      <c r="E693" s="20" t="s">
        <v>17</v>
      </c>
      <c r="F693" s="21" t="s">
        <v>82</v>
      </c>
      <c r="G693" s="22" t="s">
        <v>20</v>
      </c>
      <c r="H693" s="23" t="s">
        <v>37</v>
      </c>
    </row>
    <row r="694" spans="2:8" s="1" customFormat="1" x14ac:dyDescent="0.15">
      <c r="B694" s="13" t="s">
        <v>1</v>
      </c>
      <c r="C694" s="14" t="s">
        <v>0</v>
      </c>
      <c r="D694" s="29" t="s">
        <v>282</v>
      </c>
      <c r="E694" s="30"/>
      <c r="F694" s="31"/>
      <c r="G694" s="15" t="s">
        <v>57</v>
      </c>
      <c r="H694" s="16" t="s">
        <v>46</v>
      </c>
    </row>
    <row r="695" spans="2:8" s="1" customFormat="1" x14ac:dyDescent="0.15">
      <c r="B695" s="32">
        <v>100140</v>
      </c>
      <c r="C695" s="2" t="s">
        <v>2</v>
      </c>
      <c r="D695" s="9">
        <f>ROUND(C12*720,0)</f>
        <v>4622</v>
      </c>
      <c r="E695" s="3" t="s">
        <v>3</v>
      </c>
      <c r="F695" s="11">
        <f>ROUND(C12*1584,0)</f>
        <v>10169</v>
      </c>
      <c r="G695" s="4" t="s">
        <v>8</v>
      </c>
      <c r="H695" s="17" t="s">
        <v>27</v>
      </c>
    </row>
    <row r="696" spans="2:8" s="1" customFormat="1" ht="13.5" customHeight="1" x14ac:dyDescent="0.15">
      <c r="B696" s="33"/>
      <c r="C696" s="5" t="s">
        <v>4</v>
      </c>
      <c r="D696" s="9">
        <f>ROUND(C12*880,0)</f>
        <v>5650</v>
      </c>
      <c r="E696" s="6" t="s">
        <v>5</v>
      </c>
      <c r="F696" s="11">
        <f>ROUND(C12*1936,0)</f>
        <v>12429</v>
      </c>
      <c r="G696" s="35">
        <v>100</v>
      </c>
      <c r="H696" s="17"/>
    </row>
    <row r="697" spans="2:8" s="1" customFormat="1" ht="13.5" customHeight="1" x14ac:dyDescent="0.15">
      <c r="B697" s="33"/>
      <c r="C697" s="7" t="s">
        <v>6</v>
      </c>
      <c r="D697" s="10">
        <v>3</v>
      </c>
      <c r="E697" s="8" t="s">
        <v>7</v>
      </c>
      <c r="F697" s="12">
        <f>ROUND(C12*530,0)</f>
        <v>3403</v>
      </c>
      <c r="G697" s="36"/>
      <c r="H697" s="17"/>
    </row>
    <row r="698" spans="2:8" s="1" customFormat="1" ht="14.25" thickBot="1" x14ac:dyDescent="0.2">
      <c r="B698" s="34"/>
      <c r="C698" s="18" t="s">
        <v>16</v>
      </c>
      <c r="D698" s="19" t="s">
        <v>413</v>
      </c>
      <c r="E698" s="20" t="s">
        <v>17</v>
      </c>
      <c r="F698" s="21" t="s">
        <v>100</v>
      </c>
      <c r="G698" s="22" t="s">
        <v>20</v>
      </c>
      <c r="H698" s="23" t="s">
        <v>37</v>
      </c>
    </row>
    <row r="699" spans="2:8" s="1" customFormat="1" x14ac:dyDescent="0.15">
      <c r="B699" s="13" t="s">
        <v>1</v>
      </c>
      <c r="C699" s="14" t="s">
        <v>0</v>
      </c>
      <c r="D699" s="29" t="s">
        <v>283</v>
      </c>
      <c r="E699" s="30"/>
      <c r="F699" s="31"/>
      <c r="G699" s="15" t="s">
        <v>57</v>
      </c>
      <c r="H699" s="16" t="s">
        <v>53</v>
      </c>
    </row>
    <row r="700" spans="2:8" s="1" customFormat="1" x14ac:dyDescent="0.15">
      <c r="B700" s="32">
        <v>100141</v>
      </c>
      <c r="C700" s="2" t="s">
        <v>2</v>
      </c>
      <c r="D700" s="9">
        <f>ROUND(C12*815,0)</f>
        <v>5232</v>
      </c>
      <c r="E700" s="3" t="s">
        <v>3</v>
      </c>
      <c r="F700" s="11">
        <f>ROUND(C12*830,0)</f>
        <v>5329</v>
      </c>
      <c r="G700" s="4" t="s">
        <v>8</v>
      </c>
      <c r="H700" s="17" t="s">
        <v>394</v>
      </c>
    </row>
    <row r="701" spans="2:8" s="1" customFormat="1" ht="13.5" customHeight="1" x14ac:dyDescent="0.15">
      <c r="B701" s="33"/>
      <c r="C701" s="5" t="s">
        <v>4</v>
      </c>
      <c r="D701" s="9">
        <f>ROUND(C12*815,0)</f>
        <v>5232</v>
      </c>
      <c r="E701" s="6" t="s">
        <v>5</v>
      </c>
      <c r="F701" s="11">
        <f>ROUND(C12*830,0)</f>
        <v>5329</v>
      </c>
      <c r="G701" s="35">
        <v>30</v>
      </c>
      <c r="H701" s="17"/>
    </row>
    <row r="702" spans="2:8" s="1" customFormat="1" ht="13.5" customHeight="1" x14ac:dyDescent="0.15">
      <c r="B702" s="33"/>
      <c r="C702" s="7" t="s">
        <v>6</v>
      </c>
      <c r="D702" s="10">
        <v>5</v>
      </c>
      <c r="E702" s="8" t="s">
        <v>7</v>
      </c>
      <c r="F702" s="12">
        <f>ROUND(C12*370,0)</f>
        <v>2375</v>
      </c>
      <c r="G702" s="36"/>
      <c r="H702" s="17"/>
    </row>
    <row r="703" spans="2:8" s="1" customFormat="1" ht="14.25" thickBot="1" x14ac:dyDescent="0.2">
      <c r="B703" s="34"/>
      <c r="C703" s="18" t="s">
        <v>16</v>
      </c>
      <c r="D703" s="19" t="s">
        <v>400</v>
      </c>
      <c r="E703" s="20" t="s">
        <v>17</v>
      </c>
      <c r="F703" s="21" t="s">
        <v>32</v>
      </c>
      <c r="G703" s="22" t="s">
        <v>20</v>
      </c>
      <c r="H703" s="23" t="s">
        <v>284</v>
      </c>
    </row>
    <row r="704" spans="2:8" s="1" customFormat="1" x14ac:dyDescent="0.15">
      <c r="B704" s="13" t="s">
        <v>1</v>
      </c>
      <c r="C704" s="14" t="s">
        <v>0</v>
      </c>
      <c r="D704" s="29" t="s">
        <v>285</v>
      </c>
      <c r="E704" s="30"/>
      <c r="F704" s="31"/>
      <c r="G704" s="15" t="s">
        <v>57</v>
      </c>
      <c r="H704" s="16" t="s">
        <v>35</v>
      </c>
    </row>
    <row r="705" spans="2:8" s="1" customFormat="1" x14ac:dyDescent="0.15">
      <c r="B705" s="32">
        <v>100142</v>
      </c>
      <c r="C705" s="2" t="s">
        <v>2</v>
      </c>
      <c r="D705" s="9">
        <f>ROUND(C12*815,0)</f>
        <v>5232</v>
      </c>
      <c r="E705" s="3" t="s">
        <v>3</v>
      </c>
      <c r="F705" s="11">
        <f>ROUND(C12*830,0)</f>
        <v>5329</v>
      </c>
      <c r="G705" s="4" t="s">
        <v>8</v>
      </c>
      <c r="H705" s="17" t="s">
        <v>23</v>
      </c>
    </row>
    <row r="706" spans="2:8" s="1" customFormat="1" ht="13.5" customHeight="1" x14ac:dyDescent="0.15">
      <c r="B706" s="33"/>
      <c r="C706" s="5" t="s">
        <v>4</v>
      </c>
      <c r="D706" s="9">
        <f>ROUND(C12*815,0)</f>
        <v>5232</v>
      </c>
      <c r="E706" s="6" t="s">
        <v>5</v>
      </c>
      <c r="F706" s="11">
        <f>ROUND(C12*830,0)</f>
        <v>5329</v>
      </c>
      <c r="G706" s="35">
        <v>100</v>
      </c>
      <c r="H706" s="17"/>
    </row>
    <row r="707" spans="2:8" s="1" customFormat="1" ht="13.5" customHeight="1" x14ac:dyDescent="0.15">
      <c r="B707" s="33"/>
      <c r="C707" s="7" t="s">
        <v>6</v>
      </c>
      <c r="D707" s="10">
        <v>5</v>
      </c>
      <c r="E707" s="8" t="s">
        <v>7</v>
      </c>
      <c r="F707" s="12">
        <f>ROUND(C12*480,0)</f>
        <v>3082</v>
      </c>
      <c r="G707" s="36"/>
      <c r="H707" s="17"/>
    </row>
    <row r="708" spans="2:8" s="1" customFormat="1" ht="14.25" thickBot="1" x14ac:dyDescent="0.2">
      <c r="B708" s="34"/>
      <c r="C708" s="18" t="s">
        <v>16</v>
      </c>
      <c r="D708" s="19" t="s">
        <v>402</v>
      </c>
      <c r="E708" s="20" t="s">
        <v>17</v>
      </c>
      <c r="F708" s="21" t="s">
        <v>392</v>
      </c>
      <c r="G708" s="22" t="s">
        <v>20</v>
      </c>
      <c r="H708" s="23" t="s">
        <v>37</v>
      </c>
    </row>
    <row r="709" spans="2:8" s="1" customFormat="1" x14ac:dyDescent="0.15">
      <c r="B709" s="13" t="s">
        <v>1</v>
      </c>
      <c r="C709" s="14" t="s">
        <v>0</v>
      </c>
      <c r="D709" s="29" t="s">
        <v>286</v>
      </c>
      <c r="E709" s="30"/>
      <c r="F709" s="31"/>
      <c r="G709" s="15" t="s">
        <v>57</v>
      </c>
      <c r="H709" s="16" t="s">
        <v>41</v>
      </c>
    </row>
    <row r="710" spans="2:8" s="1" customFormat="1" x14ac:dyDescent="0.15">
      <c r="B710" s="32">
        <v>100143</v>
      </c>
      <c r="C710" s="2" t="s">
        <v>2</v>
      </c>
      <c r="D710" s="9">
        <f>ROUND(C12*720,0)</f>
        <v>4622</v>
      </c>
      <c r="E710" s="3" t="s">
        <v>3</v>
      </c>
      <c r="F710" s="11">
        <f>ROUND(C12*1584,0)</f>
        <v>10169</v>
      </c>
      <c r="G710" s="4" t="s">
        <v>8</v>
      </c>
      <c r="H710" s="17" t="s">
        <v>25</v>
      </c>
    </row>
    <row r="711" spans="2:8" s="1" customFormat="1" ht="13.5" customHeight="1" x14ac:dyDescent="0.15">
      <c r="B711" s="33"/>
      <c r="C711" s="5" t="s">
        <v>4</v>
      </c>
      <c r="D711" s="9">
        <f>ROUND(C12*880,0)</f>
        <v>5650</v>
      </c>
      <c r="E711" s="6" t="s">
        <v>5</v>
      </c>
      <c r="F711" s="11">
        <f>ROUND(C12*1936,0)</f>
        <v>12429</v>
      </c>
      <c r="G711" s="35">
        <v>100</v>
      </c>
      <c r="H711" s="17"/>
    </row>
    <row r="712" spans="2:8" s="1" customFormat="1" ht="13.5" customHeight="1" x14ac:dyDescent="0.15">
      <c r="B712" s="33"/>
      <c r="C712" s="7" t="s">
        <v>6</v>
      </c>
      <c r="D712" s="10">
        <v>3</v>
      </c>
      <c r="E712" s="8" t="s">
        <v>7</v>
      </c>
      <c r="F712" s="12">
        <f>ROUND(C12*530,0)</f>
        <v>3403</v>
      </c>
      <c r="G712" s="36"/>
      <c r="H712" s="17"/>
    </row>
    <row r="713" spans="2:8" s="1" customFormat="1" ht="14.25" thickBot="1" x14ac:dyDescent="0.2">
      <c r="B713" s="34"/>
      <c r="C713" s="18" t="s">
        <v>16</v>
      </c>
      <c r="D713" s="19" t="s">
        <v>422</v>
      </c>
      <c r="E713" s="20" t="s">
        <v>17</v>
      </c>
      <c r="F713" s="21" t="s">
        <v>293</v>
      </c>
      <c r="G713" s="22" t="s">
        <v>20</v>
      </c>
      <c r="H713" s="23" t="s">
        <v>37</v>
      </c>
    </row>
    <row r="714" spans="2:8" s="1" customFormat="1" x14ac:dyDescent="0.15">
      <c r="B714" s="13" t="s">
        <v>1</v>
      </c>
      <c r="C714" s="14" t="s">
        <v>0</v>
      </c>
      <c r="D714" s="29" t="s">
        <v>287</v>
      </c>
      <c r="E714" s="30"/>
      <c r="F714" s="31"/>
      <c r="G714" s="15" t="s">
        <v>57</v>
      </c>
      <c r="H714" s="16" t="s">
        <v>74</v>
      </c>
    </row>
    <row r="715" spans="2:8" s="1" customFormat="1" x14ac:dyDescent="0.15">
      <c r="B715" s="32">
        <v>100144</v>
      </c>
      <c r="C715" s="2" t="s">
        <v>2</v>
      </c>
      <c r="D715" s="9">
        <f>ROUND(C12*720,0)</f>
        <v>4622</v>
      </c>
      <c r="E715" s="3" t="s">
        <v>3</v>
      </c>
      <c r="F715" s="11">
        <f>ROUND(C12*720,0)</f>
        <v>4622</v>
      </c>
      <c r="G715" s="4" t="s">
        <v>8</v>
      </c>
      <c r="H715" s="17" t="s">
        <v>75</v>
      </c>
    </row>
    <row r="716" spans="2:8" s="1" customFormat="1" ht="13.5" customHeight="1" x14ac:dyDescent="0.15">
      <c r="B716" s="33"/>
      <c r="C716" s="5" t="s">
        <v>4</v>
      </c>
      <c r="D716" s="9">
        <f>ROUND(C12*880,0)</f>
        <v>5650</v>
      </c>
      <c r="E716" s="6" t="s">
        <v>5</v>
      </c>
      <c r="F716" s="11">
        <f>ROUND(C12*880,0)</f>
        <v>5650</v>
      </c>
      <c r="G716" s="35">
        <v>100</v>
      </c>
      <c r="H716" s="17"/>
    </row>
    <row r="717" spans="2:8" s="1" customFormat="1" ht="13.5" customHeight="1" x14ac:dyDescent="0.15">
      <c r="B717" s="33"/>
      <c r="C717" s="7" t="s">
        <v>6</v>
      </c>
      <c r="D717" s="10">
        <v>5</v>
      </c>
      <c r="E717" s="8" t="s">
        <v>7</v>
      </c>
      <c r="F717" s="12">
        <f>ROUND(C12*370,0)</f>
        <v>2375</v>
      </c>
      <c r="G717" s="36"/>
      <c r="H717" s="17"/>
    </row>
    <row r="718" spans="2:8" s="1" customFormat="1" ht="14.25" thickBot="1" x14ac:dyDescent="0.2">
      <c r="B718" s="34"/>
      <c r="C718" s="18" t="s">
        <v>16</v>
      </c>
      <c r="D718" s="19" t="s">
        <v>419</v>
      </c>
      <c r="E718" s="20" t="s">
        <v>17</v>
      </c>
      <c r="F718" s="21" t="s">
        <v>430</v>
      </c>
      <c r="G718" s="22" t="s">
        <v>20</v>
      </c>
      <c r="H718" s="23" t="s">
        <v>37</v>
      </c>
    </row>
    <row r="719" spans="2:8" s="1" customFormat="1" x14ac:dyDescent="0.15">
      <c r="B719" s="13" t="s">
        <v>1</v>
      </c>
      <c r="C719" s="14" t="s">
        <v>0</v>
      </c>
      <c r="D719" s="29" t="s">
        <v>288</v>
      </c>
      <c r="E719" s="30"/>
      <c r="F719" s="31"/>
      <c r="G719" s="15" t="s">
        <v>57</v>
      </c>
      <c r="H719" s="16" t="s">
        <v>77</v>
      </c>
    </row>
    <row r="720" spans="2:8" s="1" customFormat="1" x14ac:dyDescent="0.15">
      <c r="B720" s="32">
        <v>100145</v>
      </c>
      <c r="C720" s="2" t="s">
        <v>2</v>
      </c>
      <c r="D720" s="9">
        <f>ROUND(C12*720,0)</f>
        <v>4622</v>
      </c>
      <c r="E720" s="3" t="s">
        <v>3</v>
      </c>
      <c r="F720" s="11">
        <f>ROUND(C12*1584,0)</f>
        <v>10169</v>
      </c>
      <c r="G720" s="4" t="s">
        <v>8</v>
      </c>
      <c r="H720" s="17" t="s">
        <v>78</v>
      </c>
    </row>
    <row r="721" spans="2:8" s="1" customFormat="1" ht="13.5" customHeight="1" x14ac:dyDescent="0.15">
      <c r="B721" s="33"/>
      <c r="C721" s="5" t="s">
        <v>4</v>
      </c>
      <c r="D721" s="9">
        <f>ROUND(C12*880,0)</f>
        <v>5650</v>
      </c>
      <c r="E721" s="6" t="s">
        <v>5</v>
      </c>
      <c r="F721" s="11">
        <f>ROUND(C12*1936,0)</f>
        <v>12429</v>
      </c>
      <c r="G721" s="35">
        <v>100</v>
      </c>
      <c r="H721" s="17"/>
    </row>
    <row r="722" spans="2:8" s="1" customFormat="1" ht="13.5" customHeight="1" x14ac:dyDescent="0.15">
      <c r="B722" s="33"/>
      <c r="C722" s="7" t="s">
        <v>6</v>
      </c>
      <c r="D722" s="10">
        <v>3</v>
      </c>
      <c r="E722" s="8" t="s">
        <v>7</v>
      </c>
      <c r="F722" s="12">
        <f>ROUND(C12*480,0)</f>
        <v>3082</v>
      </c>
      <c r="G722" s="36"/>
      <c r="H722" s="17"/>
    </row>
    <row r="723" spans="2:8" s="1" customFormat="1" ht="14.25" thickBot="1" x14ac:dyDescent="0.2">
      <c r="B723" s="34"/>
      <c r="C723" s="18" t="s">
        <v>16</v>
      </c>
      <c r="D723" s="19" t="s">
        <v>43</v>
      </c>
      <c r="E723" s="20" t="s">
        <v>17</v>
      </c>
      <c r="F723" s="21" t="s">
        <v>257</v>
      </c>
      <c r="G723" s="22" t="s">
        <v>20</v>
      </c>
      <c r="H723" s="23" t="s">
        <v>37</v>
      </c>
    </row>
    <row r="724" spans="2:8" s="1" customFormat="1" x14ac:dyDescent="0.15">
      <c r="B724" s="13" t="s">
        <v>1</v>
      </c>
      <c r="C724" s="14" t="s">
        <v>0</v>
      </c>
      <c r="D724" s="29" t="s">
        <v>289</v>
      </c>
      <c r="E724" s="30"/>
      <c r="F724" s="31"/>
      <c r="G724" s="15" t="s">
        <v>57</v>
      </c>
      <c r="H724" s="16" t="s">
        <v>84</v>
      </c>
    </row>
    <row r="725" spans="2:8" s="1" customFormat="1" x14ac:dyDescent="0.15">
      <c r="B725" s="32">
        <v>100146</v>
      </c>
      <c r="C725" s="2" t="s">
        <v>2</v>
      </c>
      <c r="D725" s="9">
        <f>ROUND(C12*815,0)</f>
        <v>5232</v>
      </c>
      <c r="E725" s="3" t="s">
        <v>3</v>
      </c>
      <c r="F725" s="11">
        <f>ROUND(C12*830,0)</f>
        <v>5329</v>
      </c>
      <c r="G725" s="4" t="s">
        <v>8</v>
      </c>
      <c r="H725" s="17" t="s">
        <v>398</v>
      </c>
    </row>
    <row r="726" spans="2:8" s="1" customFormat="1" ht="13.5" customHeight="1" x14ac:dyDescent="0.15">
      <c r="B726" s="33"/>
      <c r="C726" s="5" t="s">
        <v>4</v>
      </c>
      <c r="D726" s="9">
        <f>ROUND(C12*815,0)</f>
        <v>5232</v>
      </c>
      <c r="E726" s="6" t="s">
        <v>5</v>
      </c>
      <c r="F726" s="11">
        <f>ROUND(C12*830,0)</f>
        <v>5329</v>
      </c>
      <c r="G726" s="35">
        <v>50</v>
      </c>
      <c r="H726" s="17"/>
    </row>
    <row r="727" spans="2:8" s="1" customFormat="1" ht="13.5" customHeight="1" x14ac:dyDescent="0.15">
      <c r="B727" s="33"/>
      <c r="C727" s="7" t="s">
        <v>6</v>
      </c>
      <c r="D727" s="10">
        <v>5</v>
      </c>
      <c r="E727" s="8" t="s">
        <v>7</v>
      </c>
      <c r="F727" s="12">
        <f>ROUND(C12*530,0)</f>
        <v>3403</v>
      </c>
      <c r="G727" s="36"/>
      <c r="H727" s="17"/>
    </row>
    <row r="728" spans="2:8" s="1" customFormat="1" ht="14.25" thickBot="1" x14ac:dyDescent="0.2">
      <c r="B728" s="34"/>
      <c r="C728" s="18" t="s">
        <v>16</v>
      </c>
      <c r="D728" s="19" t="s">
        <v>390</v>
      </c>
      <c r="E728" s="20" t="s">
        <v>17</v>
      </c>
      <c r="F728" s="21" t="s">
        <v>294</v>
      </c>
      <c r="G728" s="22" t="s">
        <v>20</v>
      </c>
      <c r="H728" s="23" t="s">
        <v>267</v>
      </c>
    </row>
    <row r="729" spans="2:8" s="1" customFormat="1" x14ac:dyDescent="0.15">
      <c r="B729" s="13" t="s">
        <v>1</v>
      </c>
      <c r="C729" s="14" t="s">
        <v>0</v>
      </c>
      <c r="D729" s="29" t="s">
        <v>290</v>
      </c>
      <c r="E729" s="30"/>
      <c r="F729" s="31"/>
      <c r="G729" s="15" t="s">
        <v>57</v>
      </c>
      <c r="H729" s="16" t="s">
        <v>55</v>
      </c>
    </row>
    <row r="730" spans="2:8" s="1" customFormat="1" x14ac:dyDescent="0.15">
      <c r="B730" s="32">
        <v>100147</v>
      </c>
      <c r="C730" s="2" t="s">
        <v>2</v>
      </c>
      <c r="D730" s="9">
        <f>ROUND(C12*815,0)</f>
        <v>5232</v>
      </c>
      <c r="E730" s="3" t="s">
        <v>3</v>
      </c>
      <c r="F730" s="11">
        <f>ROUND(C12*830,0)</f>
        <v>5329</v>
      </c>
      <c r="G730" s="4" t="s">
        <v>8</v>
      </c>
      <c r="H730" s="17" t="s">
        <v>30</v>
      </c>
    </row>
    <row r="731" spans="2:8" s="1" customFormat="1" ht="13.5" customHeight="1" x14ac:dyDescent="0.15">
      <c r="B731" s="33"/>
      <c r="C731" s="5" t="s">
        <v>4</v>
      </c>
      <c r="D731" s="9">
        <f>ROUND(C12*815,0)</f>
        <v>5232</v>
      </c>
      <c r="E731" s="6" t="s">
        <v>5</v>
      </c>
      <c r="F731" s="11">
        <f>ROUND(C12*830,0)</f>
        <v>5329</v>
      </c>
      <c r="G731" s="35">
        <v>100</v>
      </c>
      <c r="H731" s="17"/>
    </row>
    <row r="732" spans="2:8" s="1" customFormat="1" ht="13.5" customHeight="1" x14ac:dyDescent="0.15">
      <c r="B732" s="33"/>
      <c r="C732" s="7" t="s">
        <v>6</v>
      </c>
      <c r="D732" s="10">
        <v>5</v>
      </c>
      <c r="E732" s="8" t="s">
        <v>7</v>
      </c>
      <c r="F732" s="12">
        <f>ROUND(C12*370,0)</f>
        <v>2375</v>
      </c>
      <c r="G732" s="36"/>
      <c r="H732" s="17"/>
    </row>
    <row r="733" spans="2:8" s="1" customFormat="1" ht="14.25" thickBot="1" x14ac:dyDescent="0.2">
      <c r="B733" s="34"/>
      <c r="C733" s="18" t="s">
        <v>16</v>
      </c>
      <c r="D733" s="19" t="s">
        <v>400</v>
      </c>
      <c r="E733" s="20" t="s">
        <v>17</v>
      </c>
      <c r="F733" s="21" t="s">
        <v>71</v>
      </c>
      <c r="G733" s="22" t="s">
        <v>20</v>
      </c>
      <c r="H733" s="23" t="s">
        <v>37</v>
      </c>
    </row>
    <row r="734" spans="2:8" s="1" customFormat="1" x14ac:dyDescent="0.15">
      <c r="B734" s="13" t="s">
        <v>1</v>
      </c>
      <c r="C734" s="14" t="s">
        <v>0</v>
      </c>
      <c r="D734" s="29" t="s">
        <v>291</v>
      </c>
      <c r="E734" s="30"/>
      <c r="F734" s="31"/>
      <c r="G734" s="15" t="s">
        <v>57</v>
      </c>
      <c r="H734" s="16" t="s">
        <v>91</v>
      </c>
    </row>
    <row r="735" spans="2:8" s="1" customFormat="1" x14ac:dyDescent="0.15">
      <c r="B735" s="32">
        <v>100148</v>
      </c>
      <c r="C735" s="2" t="s">
        <v>2</v>
      </c>
      <c r="D735" s="9">
        <f>ROUND(C12*720,0)</f>
        <v>4622</v>
      </c>
      <c r="E735" s="3" t="s">
        <v>3</v>
      </c>
      <c r="F735" s="11">
        <f>ROUND(C12*720,0)</f>
        <v>4622</v>
      </c>
      <c r="G735" s="4" t="s">
        <v>8</v>
      </c>
      <c r="H735" s="17" t="s">
        <v>92</v>
      </c>
    </row>
    <row r="736" spans="2:8" s="1" customFormat="1" ht="13.5" customHeight="1" x14ac:dyDescent="0.15">
      <c r="B736" s="33"/>
      <c r="C736" s="5" t="s">
        <v>4</v>
      </c>
      <c r="D736" s="9">
        <f>ROUND(C12*880,0)</f>
        <v>5650</v>
      </c>
      <c r="E736" s="6" t="s">
        <v>5</v>
      </c>
      <c r="F736" s="11">
        <f>ROUND(C12*880,0)</f>
        <v>5650</v>
      </c>
      <c r="G736" s="35">
        <v>100</v>
      </c>
      <c r="H736" s="17"/>
    </row>
    <row r="737" spans="2:8" s="1" customFormat="1" ht="13.5" customHeight="1" x14ac:dyDescent="0.15">
      <c r="B737" s="33"/>
      <c r="C737" s="7" t="s">
        <v>6</v>
      </c>
      <c r="D737" s="10">
        <v>5</v>
      </c>
      <c r="E737" s="8" t="s">
        <v>7</v>
      </c>
      <c r="F737" s="12">
        <f>ROUND(C12*530,0)</f>
        <v>3403</v>
      </c>
      <c r="G737" s="36"/>
      <c r="H737" s="17"/>
    </row>
    <row r="738" spans="2:8" s="1" customFormat="1" ht="14.25" thickBot="1" x14ac:dyDescent="0.2">
      <c r="B738" s="34"/>
      <c r="C738" s="18" t="s">
        <v>16</v>
      </c>
      <c r="D738" s="19" t="s">
        <v>402</v>
      </c>
      <c r="E738" s="20" t="s">
        <v>17</v>
      </c>
      <c r="F738" s="21" t="s">
        <v>48</v>
      </c>
      <c r="G738" s="22" t="s">
        <v>20</v>
      </c>
      <c r="H738" s="23" t="s">
        <v>37</v>
      </c>
    </row>
    <row r="739" spans="2:8" s="1" customFormat="1" x14ac:dyDescent="0.15">
      <c r="B739" s="13" t="s">
        <v>1</v>
      </c>
      <c r="C739" s="14" t="s">
        <v>0</v>
      </c>
      <c r="D739" s="29" t="s">
        <v>292</v>
      </c>
      <c r="E739" s="30"/>
      <c r="F739" s="31"/>
      <c r="G739" s="15" t="s">
        <v>57</v>
      </c>
      <c r="H739" s="16" t="s">
        <v>98</v>
      </c>
    </row>
    <row r="740" spans="2:8" s="1" customFormat="1" x14ac:dyDescent="0.15">
      <c r="B740" s="32">
        <v>100149</v>
      </c>
      <c r="C740" s="2" t="s">
        <v>2</v>
      </c>
      <c r="D740" s="9">
        <f>ROUND(C12*720,0)</f>
        <v>4622</v>
      </c>
      <c r="E740" s="3" t="s">
        <v>3</v>
      </c>
      <c r="F740" s="11">
        <f>ROUND(C12*1584,0)</f>
        <v>10169</v>
      </c>
      <c r="G740" s="4" t="s">
        <v>8</v>
      </c>
      <c r="H740" s="17" t="s">
        <v>99</v>
      </c>
    </row>
    <row r="741" spans="2:8" s="1" customFormat="1" ht="13.5" customHeight="1" x14ac:dyDescent="0.15">
      <c r="B741" s="33"/>
      <c r="C741" s="5" t="s">
        <v>4</v>
      </c>
      <c r="D741" s="9">
        <f>ROUND(C12*880,0)</f>
        <v>5650</v>
      </c>
      <c r="E741" s="6" t="s">
        <v>5</v>
      </c>
      <c r="F741" s="11">
        <f>ROUND(C12*1936,0)</f>
        <v>12429</v>
      </c>
      <c r="G741" s="35">
        <v>100</v>
      </c>
      <c r="H741" s="17"/>
    </row>
    <row r="742" spans="2:8" s="1" customFormat="1" ht="13.5" customHeight="1" x14ac:dyDescent="0.15">
      <c r="B742" s="33"/>
      <c r="C742" s="7" t="s">
        <v>6</v>
      </c>
      <c r="D742" s="10">
        <v>3</v>
      </c>
      <c r="E742" s="8" t="s">
        <v>7</v>
      </c>
      <c r="F742" s="12">
        <f>ROUND(C12*370,0)</f>
        <v>2375</v>
      </c>
      <c r="G742" s="36"/>
      <c r="H742" s="17"/>
    </row>
    <row r="743" spans="2:8" s="1" customFormat="1" ht="14.25" thickBot="1" x14ac:dyDescent="0.2">
      <c r="B743" s="34"/>
      <c r="C743" s="18" t="s">
        <v>16</v>
      </c>
      <c r="D743" s="19" t="s">
        <v>400</v>
      </c>
      <c r="E743" s="20" t="s">
        <v>17</v>
      </c>
      <c r="F743" s="21" t="s">
        <v>32</v>
      </c>
      <c r="G743" s="22" t="s">
        <v>20</v>
      </c>
      <c r="H743" s="23" t="s">
        <v>37</v>
      </c>
    </row>
    <row r="744" spans="2:8" s="1" customFormat="1" x14ac:dyDescent="0.15">
      <c r="B744" s="13" t="s">
        <v>1</v>
      </c>
      <c r="C744" s="14" t="s">
        <v>0</v>
      </c>
      <c r="D744" s="29" t="s">
        <v>295</v>
      </c>
      <c r="E744" s="30"/>
      <c r="F744" s="31"/>
      <c r="G744" s="15" t="s">
        <v>57</v>
      </c>
      <c r="H744" s="16" t="s">
        <v>159</v>
      </c>
    </row>
    <row r="745" spans="2:8" s="1" customFormat="1" x14ac:dyDescent="0.15">
      <c r="B745" s="32">
        <v>100150</v>
      </c>
      <c r="C745" s="2" t="s">
        <v>2</v>
      </c>
      <c r="D745" s="9">
        <f>ROUND(C12*815,0)</f>
        <v>5232</v>
      </c>
      <c r="E745" s="3" t="s">
        <v>3</v>
      </c>
      <c r="F745" s="11">
        <f>ROUND(C12*830,0)</f>
        <v>5329</v>
      </c>
      <c r="G745" s="4" t="s">
        <v>8</v>
      </c>
      <c r="H745" s="17" t="s">
        <v>160</v>
      </c>
    </row>
    <row r="746" spans="2:8" s="1" customFormat="1" ht="13.5" customHeight="1" x14ac:dyDescent="0.15">
      <c r="B746" s="33"/>
      <c r="C746" s="5" t="s">
        <v>4</v>
      </c>
      <c r="D746" s="9">
        <f>ROUND(C12*815,0)</f>
        <v>5232</v>
      </c>
      <c r="E746" s="6" t="s">
        <v>5</v>
      </c>
      <c r="F746" s="11">
        <f>ROUND(C12*830,0)</f>
        <v>5329</v>
      </c>
      <c r="G746" s="35">
        <v>50</v>
      </c>
      <c r="H746" s="17"/>
    </row>
    <row r="747" spans="2:8" s="1" customFormat="1" ht="13.5" customHeight="1" x14ac:dyDescent="0.15">
      <c r="B747" s="33"/>
      <c r="C747" s="7" t="s">
        <v>6</v>
      </c>
      <c r="D747" s="10">
        <v>5</v>
      </c>
      <c r="E747" s="8" t="s">
        <v>7</v>
      </c>
      <c r="F747" s="12">
        <f>ROUND(C12*480,0)</f>
        <v>3082</v>
      </c>
      <c r="G747" s="36"/>
      <c r="H747" s="17"/>
    </row>
    <row r="748" spans="2:8" s="1" customFormat="1" ht="14.25" thickBot="1" x14ac:dyDescent="0.2">
      <c r="B748" s="34"/>
      <c r="C748" s="18" t="s">
        <v>16</v>
      </c>
      <c r="D748" s="19" t="s">
        <v>413</v>
      </c>
      <c r="E748" s="20" t="s">
        <v>17</v>
      </c>
      <c r="F748" s="21" t="s">
        <v>100</v>
      </c>
      <c r="G748" s="22" t="s">
        <v>20</v>
      </c>
      <c r="H748" s="23" t="s">
        <v>125</v>
      </c>
    </row>
    <row r="749" spans="2:8" s="1" customFormat="1" x14ac:dyDescent="0.15">
      <c r="B749" s="13" t="s">
        <v>1</v>
      </c>
      <c r="C749" s="14" t="s">
        <v>0</v>
      </c>
      <c r="D749" s="29" t="s">
        <v>296</v>
      </c>
      <c r="E749" s="30"/>
      <c r="F749" s="31"/>
      <c r="G749" s="15" t="s">
        <v>57</v>
      </c>
      <c r="H749" s="16" t="s">
        <v>41</v>
      </c>
    </row>
    <row r="750" spans="2:8" s="1" customFormat="1" x14ac:dyDescent="0.15">
      <c r="B750" s="32">
        <v>100151</v>
      </c>
      <c r="C750" s="2" t="s">
        <v>2</v>
      </c>
      <c r="D750" s="9">
        <f>ROUND(C12*815,0)</f>
        <v>5232</v>
      </c>
      <c r="E750" s="3" t="s">
        <v>3</v>
      </c>
      <c r="F750" s="11">
        <f>ROUND(C12*830,0)</f>
        <v>5329</v>
      </c>
      <c r="G750" s="4" t="s">
        <v>8</v>
      </c>
      <c r="H750" s="17" t="s">
        <v>25</v>
      </c>
    </row>
    <row r="751" spans="2:8" s="1" customFormat="1" ht="13.5" customHeight="1" x14ac:dyDescent="0.15">
      <c r="B751" s="33"/>
      <c r="C751" s="5" t="s">
        <v>4</v>
      </c>
      <c r="D751" s="9">
        <f>ROUND(C12*815,0)</f>
        <v>5232</v>
      </c>
      <c r="E751" s="6" t="s">
        <v>5</v>
      </c>
      <c r="F751" s="11">
        <f>ROUND(C12*830,0)</f>
        <v>5329</v>
      </c>
      <c r="G751" s="35">
        <v>100</v>
      </c>
      <c r="H751" s="17"/>
    </row>
    <row r="752" spans="2:8" s="1" customFormat="1" ht="13.5" customHeight="1" x14ac:dyDescent="0.15">
      <c r="B752" s="33"/>
      <c r="C752" s="7" t="s">
        <v>6</v>
      </c>
      <c r="D752" s="10">
        <v>5</v>
      </c>
      <c r="E752" s="8" t="s">
        <v>7</v>
      </c>
      <c r="F752" s="12">
        <f>ROUND(C12*530,0)</f>
        <v>3403</v>
      </c>
      <c r="G752" s="36"/>
      <c r="H752" s="17"/>
    </row>
    <row r="753" spans="2:8" s="1" customFormat="1" ht="14.25" thickBot="1" x14ac:dyDescent="0.2">
      <c r="B753" s="34"/>
      <c r="C753" s="18" t="s">
        <v>16</v>
      </c>
      <c r="D753" s="19" t="s">
        <v>382</v>
      </c>
      <c r="E753" s="20" t="s">
        <v>17</v>
      </c>
      <c r="F753" s="21" t="s">
        <v>257</v>
      </c>
      <c r="G753" s="22" t="s">
        <v>20</v>
      </c>
      <c r="H753" s="23" t="s">
        <v>37</v>
      </c>
    </row>
    <row r="754" spans="2:8" s="1" customFormat="1" x14ac:dyDescent="0.15">
      <c r="B754" s="13" t="s">
        <v>1</v>
      </c>
      <c r="C754" s="14" t="s">
        <v>0</v>
      </c>
      <c r="D754" s="29" t="s">
        <v>297</v>
      </c>
      <c r="E754" s="30"/>
      <c r="F754" s="31"/>
      <c r="G754" s="15" t="s">
        <v>57</v>
      </c>
      <c r="H754" s="16" t="s">
        <v>35</v>
      </c>
    </row>
    <row r="755" spans="2:8" s="1" customFormat="1" x14ac:dyDescent="0.15">
      <c r="B755" s="32">
        <v>100152</v>
      </c>
      <c r="C755" s="2" t="s">
        <v>2</v>
      </c>
      <c r="D755" s="9">
        <f>ROUND(C12*720,0)</f>
        <v>4622</v>
      </c>
      <c r="E755" s="3" t="s">
        <v>3</v>
      </c>
      <c r="F755" s="11">
        <f>ROUND(C12*1584,0)</f>
        <v>10169</v>
      </c>
      <c r="G755" s="4" t="s">
        <v>8</v>
      </c>
      <c r="H755" s="17" t="s">
        <v>23</v>
      </c>
    </row>
    <row r="756" spans="2:8" s="1" customFormat="1" ht="13.5" customHeight="1" x14ac:dyDescent="0.15">
      <c r="B756" s="33"/>
      <c r="C756" s="5" t="s">
        <v>4</v>
      </c>
      <c r="D756" s="9">
        <f>ROUND(C12*880,0)</f>
        <v>5650</v>
      </c>
      <c r="E756" s="6" t="s">
        <v>5</v>
      </c>
      <c r="F756" s="11">
        <f>ROUND(C12*1936,0)</f>
        <v>12429</v>
      </c>
      <c r="G756" s="35">
        <v>100</v>
      </c>
      <c r="H756" s="17"/>
    </row>
    <row r="757" spans="2:8" s="1" customFormat="1" ht="13.5" customHeight="1" x14ac:dyDescent="0.15">
      <c r="B757" s="33"/>
      <c r="C757" s="7" t="s">
        <v>6</v>
      </c>
      <c r="D757" s="10">
        <v>3</v>
      </c>
      <c r="E757" s="8" t="s">
        <v>7</v>
      </c>
      <c r="F757" s="12">
        <f>ROUND(C12*370,0)</f>
        <v>2375</v>
      </c>
      <c r="G757" s="36"/>
      <c r="H757" s="17"/>
    </row>
    <row r="758" spans="2:8" s="1" customFormat="1" ht="14.25" thickBot="1" x14ac:dyDescent="0.2">
      <c r="B758" s="34"/>
      <c r="C758" s="18" t="s">
        <v>16</v>
      </c>
      <c r="D758" s="19" t="s">
        <v>393</v>
      </c>
      <c r="E758" s="20" t="s">
        <v>17</v>
      </c>
      <c r="F758" s="21" t="s">
        <v>56</v>
      </c>
      <c r="G758" s="22" t="s">
        <v>20</v>
      </c>
      <c r="H758" s="23" t="s">
        <v>37</v>
      </c>
    </row>
    <row r="759" spans="2:8" s="1" customFormat="1" x14ac:dyDescent="0.15">
      <c r="B759" s="13" t="s">
        <v>1</v>
      </c>
      <c r="C759" s="14" t="s">
        <v>0</v>
      </c>
      <c r="D759" s="29" t="s">
        <v>298</v>
      </c>
      <c r="E759" s="30"/>
      <c r="F759" s="31"/>
      <c r="G759" s="15" t="s">
        <v>57</v>
      </c>
      <c r="H759" s="16" t="s">
        <v>116</v>
      </c>
    </row>
    <row r="760" spans="2:8" s="1" customFormat="1" x14ac:dyDescent="0.15">
      <c r="B760" s="32">
        <v>100153</v>
      </c>
      <c r="C760" s="2" t="s">
        <v>2</v>
      </c>
      <c r="D760" s="9">
        <f>ROUND(C12*720,0)</f>
        <v>4622</v>
      </c>
      <c r="E760" s="3" t="s">
        <v>3</v>
      </c>
      <c r="F760" s="11">
        <f>ROUND(C12*1584,0)</f>
        <v>10169</v>
      </c>
      <c r="G760" s="4" t="s">
        <v>8</v>
      </c>
      <c r="H760" s="17" t="s">
        <v>117</v>
      </c>
    </row>
    <row r="761" spans="2:8" s="1" customFormat="1" ht="13.5" customHeight="1" x14ac:dyDescent="0.15">
      <c r="B761" s="33"/>
      <c r="C761" s="5" t="s">
        <v>4</v>
      </c>
      <c r="D761" s="9">
        <f>ROUND(C12*880,0)</f>
        <v>5650</v>
      </c>
      <c r="E761" s="6" t="s">
        <v>5</v>
      </c>
      <c r="F761" s="11">
        <f>ROUND(C12*1936,0)</f>
        <v>12429</v>
      </c>
      <c r="G761" s="35">
        <v>100</v>
      </c>
      <c r="H761" s="17"/>
    </row>
    <row r="762" spans="2:8" s="1" customFormat="1" ht="13.5" customHeight="1" x14ac:dyDescent="0.15">
      <c r="B762" s="33"/>
      <c r="C762" s="7" t="s">
        <v>6</v>
      </c>
      <c r="D762" s="10">
        <v>3</v>
      </c>
      <c r="E762" s="8" t="s">
        <v>7</v>
      </c>
      <c r="F762" s="12">
        <f>ROUND(C12*530,0)</f>
        <v>3403</v>
      </c>
      <c r="G762" s="36"/>
      <c r="H762" s="17"/>
    </row>
    <row r="763" spans="2:8" s="1" customFormat="1" ht="14.25" thickBot="1" x14ac:dyDescent="0.2">
      <c r="B763" s="34"/>
      <c r="C763" s="18" t="s">
        <v>16</v>
      </c>
      <c r="D763" s="19" t="s">
        <v>419</v>
      </c>
      <c r="E763" s="20" t="s">
        <v>17</v>
      </c>
      <c r="F763" s="21" t="s">
        <v>421</v>
      </c>
      <c r="G763" s="22" t="s">
        <v>20</v>
      </c>
      <c r="H763" s="23" t="s">
        <v>37</v>
      </c>
    </row>
    <row r="764" spans="2:8" s="1" customFormat="1" x14ac:dyDescent="0.15">
      <c r="B764" s="13" t="s">
        <v>1</v>
      </c>
      <c r="C764" s="14" t="s">
        <v>0</v>
      </c>
      <c r="D764" s="29" t="s">
        <v>299</v>
      </c>
      <c r="E764" s="30"/>
      <c r="F764" s="31"/>
      <c r="G764" s="15" t="s">
        <v>57</v>
      </c>
      <c r="H764" s="16" t="s">
        <v>163</v>
      </c>
    </row>
    <row r="765" spans="2:8" s="1" customFormat="1" x14ac:dyDescent="0.15">
      <c r="B765" s="32">
        <v>100154</v>
      </c>
      <c r="C765" s="2" t="s">
        <v>2</v>
      </c>
      <c r="D765" s="9">
        <f>ROUND(C12*815,0)</f>
        <v>5232</v>
      </c>
      <c r="E765" s="3" t="s">
        <v>3</v>
      </c>
      <c r="F765" s="11">
        <f>ROUND(C12*830,0)</f>
        <v>5329</v>
      </c>
      <c r="G765" s="4" t="s">
        <v>8</v>
      </c>
      <c r="H765" s="17" t="s">
        <v>164</v>
      </c>
    </row>
    <row r="766" spans="2:8" s="1" customFormat="1" ht="13.5" customHeight="1" x14ac:dyDescent="0.15">
      <c r="B766" s="33"/>
      <c r="C766" s="5" t="s">
        <v>4</v>
      </c>
      <c r="D766" s="9">
        <f>ROUND(C12*815,0)</f>
        <v>5232</v>
      </c>
      <c r="E766" s="6" t="s">
        <v>5</v>
      </c>
      <c r="F766" s="11">
        <f>ROUND(C12*830,0)</f>
        <v>5329</v>
      </c>
      <c r="G766" s="35">
        <v>50</v>
      </c>
      <c r="H766" s="17"/>
    </row>
    <row r="767" spans="2:8" s="1" customFormat="1" ht="13.5" customHeight="1" x14ac:dyDescent="0.15">
      <c r="B767" s="33"/>
      <c r="C767" s="7" t="s">
        <v>6</v>
      </c>
      <c r="D767" s="10">
        <v>5</v>
      </c>
      <c r="E767" s="8" t="s">
        <v>7</v>
      </c>
      <c r="F767" s="12">
        <f>ROUND(C12*370,0)</f>
        <v>2375</v>
      </c>
      <c r="G767" s="36"/>
      <c r="H767" s="17"/>
    </row>
    <row r="768" spans="2:8" s="1" customFormat="1" ht="14.25" thickBot="1" x14ac:dyDescent="0.2">
      <c r="B768" s="34"/>
      <c r="C768" s="18" t="s">
        <v>16</v>
      </c>
      <c r="D768" s="19" t="s">
        <v>429</v>
      </c>
      <c r="E768" s="20" t="s">
        <v>17</v>
      </c>
      <c r="F768" s="21" t="s">
        <v>54</v>
      </c>
      <c r="G768" s="22" t="s">
        <v>20</v>
      </c>
      <c r="H768" s="23" t="s">
        <v>37</v>
      </c>
    </row>
    <row r="769" spans="2:8" s="1" customFormat="1" x14ac:dyDescent="0.15">
      <c r="B769" s="13" t="s">
        <v>1</v>
      </c>
      <c r="C769" s="14" t="s">
        <v>0</v>
      </c>
      <c r="D769" s="29" t="s">
        <v>300</v>
      </c>
      <c r="E769" s="30"/>
      <c r="F769" s="31"/>
      <c r="G769" s="15" t="s">
        <v>57</v>
      </c>
      <c r="H769" s="16" t="s">
        <v>128</v>
      </c>
    </row>
    <row r="770" spans="2:8" s="1" customFormat="1" x14ac:dyDescent="0.15">
      <c r="B770" s="32">
        <v>100155</v>
      </c>
      <c r="C770" s="2" t="s">
        <v>2</v>
      </c>
      <c r="D770" s="9">
        <f>ROUND(C12*720,0)</f>
        <v>4622</v>
      </c>
      <c r="E770" s="3" t="s">
        <v>3</v>
      </c>
      <c r="F770" s="11">
        <f>ROUND(C12*720,0)</f>
        <v>4622</v>
      </c>
      <c r="G770" s="4" t="s">
        <v>8</v>
      </c>
      <c r="H770" s="17" t="s">
        <v>129</v>
      </c>
    </row>
    <row r="771" spans="2:8" s="1" customFormat="1" ht="13.5" customHeight="1" x14ac:dyDescent="0.15">
      <c r="B771" s="33"/>
      <c r="C771" s="5" t="s">
        <v>4</v>
      </c>
      <c r="D771" s="9">
        <f>ROUND(C12*880,0)</f>
        <v>5650</v>
      </c>
      <c r="E771" s="6" t="s">
        <v>5</v>
      </c>
      <c r="F771" s="11">
        <f>ROUND(C12*880,0)</f>
        <v>5650</v>
      </c>
      <c r="G771" s="35">
        <v>100</v>
      </c>
      <c r="H771" s="17"/>
    </row>
    <row r="772" spans="2:8" s="1" customFormat="1" ht="13.5" customHeight="1" x14ac:dyDescent="0.15">
      <c r="B772" s="33"/>
      <c r="C772" s="7" t="s">
        <v>6</v>
      </c>
      <c r="D772" s="10">
        <v>5</v>
      </c>
      <c r="E772" s="8" t="s">
        <v>7</v>
      </c>
      <c r="F772" s="12">
        <f>ROUND(C12*530,0)</f>
        <v>3403</v>
      </c>
      <c r="G772" s="36"/>
      <c r="H772" s="17"/>
    </row>
    <row r="773" spans="2:8" s="1" customFormat="1" ht="14.25" thickBot="1" x14ac:dyDescent="0.2">
      <c r="B773" s="34"/>
      <c r="C773" s="18" t="s">
        <v>16</v>
      </c>
      <c r="D773" s="19" t="s">
        <v>432</v>
      </c>
      <c r="E773" s="20" t="s">
        <v>17</v>
      </c>
      <c r="F773" s="21" t="s">
        <v>36</v>
      </c>
      <c r="G773" s="22" t="s">
        <v>20</v>
      </c>
      <c r="H773" s="23" t="s">
        <v>37</v>
      </c>
    </row>
    <row r="774" spans="2:8" s="1" customFormat="1" x14ac:dyDescent="0.15">
      <c r="B774" s="13" t="s">
        <v>1</v>
      </c>
      <c r="C774" s="14" t="s">
        <v>0</v>
      </c>
      <c r="D774" s="29" t="s">
        <v>301</v>
      </c>
      <c r="E774" s="30"/>
      <c r="F774" s="31"/>
      <c r="G774" s="15" t="s">
        <v>57</v>
      </c>
      <c r="H774" s="16" t="s">
        <v>146</v>
      </c>
    </row>
    <row r="775" spans="2:8" s="1" customFormat="1" x14ac:dyDescent="0.15">
      <c r="B775" s="32">
        <v>100156</v>
      </c>
      <c r="C775" s="2" t="s">
        <v>2</v>
      </c>
      <c r="D775" s="9">
        <f>ROUND(C12*720,0)</f>
        <v>4622</v>
      </c>
      <c r="E775" s="3" t="s">
        <v>3</v>
      </c>
      <c r="F775" s="11">
        <f>ROUND(C12*720,0)</f>
        <v>4622</v>
      </c>
      <c r="G775" s="4" t="s">
        <v>8</v>
      </c>
      <c r="H775" s="17" t="s">
        <v>147</v>
      </c>
    </row>
    <row r="776" spans="2:8" s="1" customFormat="1" ht="13.5" customHeight="1" x14ac:dyDescent="0.15">
      <c r="B776" s="33"/>
      <c r="C776" s="5" t="s">
        <v>4</v>
      </c>
      <c r="D776" s="9">
        <f>ROUND(C12*880,0)</f>
        <v>5650</v>
      </c>
      <c r="E776" s="6" t="s">
        <v>5</v>
      </c>
      <c r="F776" s="11">
        <f>ROUND(C12*880,0)</f>
        <v>5650</v>
      </c>
      <c r="G776" s="35">
        <v>100</v>
      </c>
      <c r="H776" s="17"/>
    </row>
    <row r="777" spans="2:8" s="1" customFormat="1" ht="13.5" customHeight="1" x14ac:dyDescent="0.15">
      <c r="B777" s="33"/>
      <c r="C777" s="7" t="s">
        <v>6</v>
      </c>
      <c r="D777" s="10">
        <v>5</v>
      </c>
      <c r="E777" s="8" t="s">
        <v>7</v>
      </c>
      <c r="F777" s="12">
        <f>ROUND(C12*370,0)</f>
        <v>2375</v>
      </c>
      <c r="G777" s="36"/>
      <c r="H777" s="17"/>
    </row>
    <row r="778" spans="2:8" s="1" customFormat="1" ht="14.25" thickBot="1" x14ac:dyDescent="0.2">
      <c r="B778" s="34"/>
      <c r="C778" s="18" t="s">
        <v>16</v>
      </c>
      <c r="D778" s="19" t="s">
        <v>32</v>
      </c>
      <c r="E778" s="20" t="s">
        <v>17</v>
      </c>
      <c r="F778" s="21" t="s">
        <v>36</v>
      </c>
      <c r="G778" s="22" t="s">
        <v>20</v>
      </c>
      <c r="H778" s="23" t="s">
        <v>37</v>
      </c>
    </row>
    <row r="779" spans="2:8" s="1" customFormat="1" x14ac:dyDescent="0.15">
      <c r="B779" s="13" t="s">
        <v>1</v>
      </c>
      <c r="C779" s="14" t="s">
        <v>0</v>
      </c>
      <c r="D779" s="29" t="s">
        <v>302</v>
      </c>
      <c r="E779" s="30"/>
      <c r="F779" s="31"/>
      <c r="G779" s="15" t="s">
        <v>57</v>
      </c>
      <c r="H779" s="16" t="s">
        <v>116</v>
      </c>
    </row>
    <row r="780" spans="2:8" s="1" customFormat="1" x14ac:dyDescent="0.15">
      <c r="B780" s="32">
        <v>100157</v>
      </c>
      <c r="C780" s="2" t="s">
        <v>2</v>
      </c>
      <c r="D780" s="9">
        <f>ROUND(C12*720,0)</f>
        <v>4622</v>
      </c>
      <c r="E780" s="3" t="s">
        <v>3</v>
      </c>
      <c r="F780" s="11">
        <f>ROUND(C12*720,0)</f>
        <v>4622</v>
      </c>
      <c r="G780" s="4" t="s">
        <v>8</v>
      </c>
      <c r="H780" s="17" t="s">
        <v>117</v>
      </c>
    </row>
    <row r="781" spans="2:8" s="1" customFormat="1" ht="13.5" customHeight="1" x14ac:dyDescent="0.15">
      <c r="B781" s="33"/>
      <c r="C781" s="5" t="s">
        <v>4</v>
      </c>
      <c r="D781" s="9">
        <f>ROUND(C12*880,0)</f>
        <v>5650</v>
      </c>
      <c r="E781" s="6" t="s">
        <v>5</v>
      </c>
      <c r="F781" s="11">
        <f>ROUND(C12*880,0)</f>
        <v>5650</v>
      </c>
      <c r="G781" s="35">
        <v>100</v>
      </c>
      <c r="H781" s="17"/>
    </row>
    <row r="782" spans="2:8" s="1" customFormat="1" ht="13.5" customHeight="1" x14ac:dyDescent="0.15">
      <c r="B782" s="33"/>
      <c r="C782" s="7" t="s">
        <v>6</v>
      </c>
      <c r="D782" s="10">
        <v>5</v>
      </c>
      <c r="E782" s="8" t="s">
        <v>7</v>
      </c>
      <c r="F782" s="12">
        <f>ROUND(C12*530,0)</f>
        <v>3403</v>
      </c>
      <c r="G782" s="36"/>
      <c r="H782" s="17"/>
    </row>
    <row r="783" spans="2:8" s="1" customFormat="1" ht="14.25" thickBot="1" x14ac:dyDescent="0.2">
      <c r="B783" s="34"/>
      <c r="C783" s="18" t="s">
        <v>16</v>
      </c>
      <c r="D783" s="19" t="s">
        <v>48</v>
      </c>
      <c r="E783" s="20" t="s">
        <v>17</v>
      </c>
      <c r="F783" s="21" t="s">
        <v>418</v>
      </c>
      <c r="G783" s="22" t="s">
        <v>20</v>
      </c>
      <c r="H783" s="23" t="s">
        <v>37</v>
      </c>
    </row>
    <row r="784" spans="2:8" s="1" customFormat="1" x14ac:dyDescent="0.15">
      <c r="B784" s="13" t="s">
        <v>1</v>
      </c>
      <c r="C784" s="14" t="s">
        <v>0</v>
      </c>
      <c r="D784" s="29" t="s">
        <v>303</v>
      </c>
      <c r="E784" s="30"/>
      <c r="F784" s="31"/>
      <c r="G784" s="15" t="s">
        <v>57</v>
      </c>
      <c r="H784" s="16" t="s">
        <v>131</v>
      </c>
    </row>
    <row r="785" spans="2:8" s="1" customFormat="1" x14ac:dyDescent="0.15">
      <c r="B785" s="32">
        <v>100158</v>
      </c>
      <c r="C785" s="2" t="s">
        <v>2</v>
      </c>
      <c r="D785" s="9">
        <f>ROUND(C12*720,0)</f>
        <v>4622</v>
      </c>
      <c r="E785" s="3" t="s">
        <v>3</v>
      </c>
      <c r="F785" s="11">
        <f>ROUND(C12*720,0)</f>
        <v>4622</v>
      </c>
      <c r="G785" s="4" t="s">
        <v>8</v>
      </c>
      <c r="H785" s="17" t="s">
        <v>132</v>
      </c>
    </row>
    <row r="786" spans="2:8" s="1" customFormat="1" ht="13.5" customHeight="1" x14ac:dyDescent="0.15">
      <c r="B786" s="33"/>
      <c r="C786" s="5" t="s">
        <v>4</v>
      </c>
      <c r="D786" s="9">
        <f>ROUND(C12*880,0)</f>
        <v>5650</v>
      </c>
      <c r="E786" s="6" t="s">
        <v>5</v>
      </c>
      <c r="F786" s="11">
        <f>ROUND(C12*880,0)</f>
        <v>5650</v>
      </c>
      <c r="G786" s="35">
        <v>100</v>
      </c>
      <c r="H786" s="17"/>
    </row>
    <row r="787" spans="2:8" s="1" customFormat="1" ht="13.5" customHeight="1" x14ac:dyDescent="0.15">
      <c r="B787" s="33"/>
      <c r="C787" s="7" t="s">
        <v>6</v>
      </c>
      <c r="D787" s="10">
        <v>5</v>
      </c>
      <c r="E787" s="8" t="s">
        <v>7</v>
      </c>
      <c r="F787" s="12">
        <f>ROUND(C12*480,0)</f>
        <v>3082</v>
      </c>
      <c r="G787" s="36"/>
      <c r="H787" s="17"/>
    </row>
    <row r="788" spans="2:8" s="1" customFormat="1" ht="14.25" thickBot="1" x14ac:dyDescent="0.2">
      <c r="B788" s="34"/>
      <c r="C788" s="18" t="s">
        <v>16</v>
      </c>
      <c r="D788" s="19" t="s">
        <v>33</v>
      </c>
      <c r="E788" s="20" t="s">
        <v>17</v>
      </c>
      <c r="F788" s="21" t="s">
        <v>54</v>
      </c>
      <c r="G788" s="22" t="s">
        <v>20</v>
      </c>
      <c r="H788" s="23" t="s">
        <v>37</v>
      </c>
    </row>
    <row r="789" spans="2:8" s="1" customFormat="1" x14ac:dyDescent="0.15">
      <c r="B789" s="13" t="s">
        <v>1</v>
      </c>
      <c r="C789" s="14" t="s">
        <v>0</v>
      </c>
      <c r="D789" s="29" t="s">
        <v>304</v>
      </c>
      <c r="E789" s="30"/>
      <c r="F789" s="31"/>
      <c r="G789" s="15" t="s">
        <v>57</v>
      </c>
      <c r="H789" s="16" t="s">
        <v>143</v>
      </c>
    </row>
    <row r="790" spans="2:8" s="1" customFormat="1" x14ac:dyDescent="0.15">
      <c r="B790" s="32">
        <v>100159</v>
      </c>
      <c r="C790" s="2" t="s">
        <v>2</v>
      </c>
      <c r="D790" s="9">
        <f>ROUND(C12*815,0)</f>
        <v>5232</v>
      </c>
      <c r="E790" s="3" t="s">
        <v>3</v>
      </c>
      <c r="F790" s="11">
        <f>ROUND(C12*830,0)</f>
        <v>5329</v>
      </c>
      <c r="G790" s="4" t="s">
        <v>8</v>
      </c>
      <c r="H790" s="17" t="s">
        <v>144</v>
      </c>
    </row>
    <row r="791" spans="2:8" s="1" customFormat="1" ht="13.5" customHeight="1" x14ac:dyDescent="0.15">
      <c r="B791" s="33"/>
      <c r="C791" s="5" t="s">
        <v>4</v>
      </c>
      <c r="D791" s="9">
        <f>ROUND(C12*815,0)</f>
        <v>5232</v>
      </c>
      <c r="E791" s="6" t="s">
        <v>5</v>
      </c>
      <c r="F791" s="11">
        <f>ROUND(C12*830,0)</f>
        <v>5329</v>
      </c>
      <c r="G791" s="35">
        <v>50</v>
      </c>
      <c r="H791" s="17"/>
    </row>
    <row r="792" spans="2:8" s="1" customFormat="1" ht="13.5" customHeight="1" x14ac:dyDescent="0.15">
      <c r="B792" s="33"/>
      <c r="C792" s="7" t="s">
        <v>6</v>
      </c>
      <c r="D792" s="10">
        <v>5</v>
      </c>
      <c r="E792" s="8" t="s">
        <v>7</v>
      </c>
      <c r="F792" s="12">
        <f>ROUND(C12*370,0)</f>
        <v>2375</v>
      </c>
      <c r="G792" s="36"/>
      <c r="H792" s="17"/>
    </row>
    <row r="793" spans="2:8" s="1" customFormat="1" ht="14.25" thickBot="1" x14ac:dyDescent="0.2">
      <c r="B793" s="34"/>
      <c r="C793" s="18" t="s">
        <v>16</v>
      </c>
      <c r="D793" s="19" t="s">
        <v>52</v>
      </c>
      <c r="E793" s="20" t="s">
        <v>17</v>
      </c>
      <c r="F793" s="21" t="s">
        <v>51</v>
      </c>
      <c r="G793" s="22" t="s">
        <v>20</v>
      </c>
      <c r="H793" s="23" t="s">
        <v>262</v>
      </c>
    </row>
    <row r="794" spans="2:8" s="1" customFormat="1" x14ac:dyDescent="0.15">
      <c r="B794" s="13" t="s">
        <v>1</v>
      </c>
      <c r="C794" s="14" t="s">
        <v>0</v>
      </c>
      <c r="D794" s="29" t="s">
        <v>305</v>
      </c>
      <c r="E794" s="30"/>
      <c r="F794" s="31"/>
      <c r="G794" s="15" t="s">
        <v>57</v>
      </c>
      <c r="H794" s="16" t="s">
        <v>167</v>
      </c>
    </row>
    <row r="795" spans="2:8" s="1" customFormat="1" x14ac:dyDescent="0.15">
      <c r="B795" s="32">
        <v>100160</v>
      </c>
      <c r="C795" s="2" t="s">
        <v>2</v>
      </c>
      <c r="D795" s="9">
        <f>ROUND(C12*815,0)</f>
        <v>5232</v>
      </c>
      <c r="E795" s="3" t="s">
        <v>3</v>
      </c>
      <c r="F795" s="11">
        <f>ROUND(C12*830,0)</f>
        <v>5329</v>
      </c>
      <c r="G795" s="4" t="s">
        <v>8</v>
      </c>
      <c r="H795" s="17" t="s">
        <v>168</v>
      </c>
    </row>
    <row r="796" spans="2:8" s="1" customFormat="1" ht="13.5" customHeight="1" x14ac:dyDescent="0.15">
      <c r="B796" s="33"/>
      <c r="C796" s="5" t="s">
        <v>4</v>
      </c>
      <c r="D796" s="9">
        <f>ROUND(C12*815,0)</f>
        <v>5232</v>
      </c>
      <c r="E796" s="6" t="s">
        <v>5</v>
      </c>
      <c r="F796" s="11">
        <f>ROUND(C12*830,0)</f>
        <v>5329</v>
      </c>
      <c r="G796" s="35">
        <v>50</v>
      </c>
      <c r="H796" s="17"/>
    </row>
    <row r="797" spans="2:8" s="1" customFormat="1" ht="13.5" customHeight="1" x14ac:dyDescent="0.15">
      <c r="B797" s="33"/>
      <c r="C797" s="7" t="s">
        <v>6</v>
      </c>
      <c r="D797" s="10">
        <v>5</v>
      </c>
      <c r="E797" s="8" t="s">
        <v>7</v>
      </c>
      <c r="F797" s="12">
        <f>ROUND(C12*530,0)</f>
        <v>3403</v>
      </c>
      <c r="G797" s="36"/>
      <c r="H797" s="17"/>
    </row>
    <row r="798" spans="2:8" s="1" customFormat="1" ht="14.25" thickBot="1" x14ac:dyDescent="0.2">
      <c r="B798" s="34"/>
      <c r="C798" s="18" t="s">
        <v>16</v>
      </c>
      <c r="D798" s="19" t="s">
        <v>48</v>
      </c>
      <c r="E798" s="20" t="s">
        <v>17</v>
      </c>
      <c r="F798" s="21" t="s">
        <v>49</v>
      </c>
      <c r="G798" s="22" t="s">
        <v>20</v>
      </c>
      <c r="H798" s="23" t="s">
        <v>183</v>
      </c>
    </row>
    <row r="799" spans="2:8" s="1" customFormat="1" x14ac:dyDescent="0.15">
      <c r="B799" s="13" t="s">
        <v>1</v>
      </c>
      <c r="C799" s="14" t="s">
        <v>0</v>
      </c>
      <c r="D799" s="29" t="s">
        <v>306</v>
      </c>
      <c r="E799" s="30"/>
      <c r="F799" s="31"/>
      <c r="G799" s="15" t="s">
        <v>57</v>
      </c>
      <c r="H799" s="16" t="s">
        <v>41</v>
      </c>
    </row>
    <row r="800" spans="2:8" s="1" customFormat="1" x14ac:dyDescent="0.15">
      <c r="B800" s="32">
        <v>100161</v>
      </c>
      <c r="C800" s="2" t="s">
        <v>2</v>
      </c>
      <c r="D800" s="9">
        <f>ROUND(C12*815,0)</f>
        <v>5232</v>
      </c>
      <c r="E800" s="3" t="s">
        <v>3</v>
      </c>
      <c r="F800" s="11">
        <f>ROUND(C12*830,0)</f>
        <v>5329</v>
      </c>
      <c r="G800" s="4" t="s">
        <v>8</v>
      </c>
      <c r="H800" s="17" t="s">
        <v>25</v>
      </c>
    </row>
    <row r="801" spans="2:8" s="1" customFormat="1" ht="13.5" customHeight="1" x14ac:dyDescent="0.15">
      <c r="B801" s="33"/>
      <c r="C801" s="5" t="s">
        <v>4</v>
      </c>
      <c r="D801" s="9">
        <f>ROUND(C12*815,0)</f>
        <v>5232</v>
      </c>
      <c r="E801" s="6" t="s">
        <v>5</v>
      </c>
      <c r="F801" s="11">
        <f>ROUND(C12*830,0)</f>
        <v>5329</v>
      </c>
      <c r="G801" s="35">
        <v>100</v>
      </c>
      <c r="H801" s="17"/>
    </row>
    <row r="802" spans="2:8" s="1" customFormat="1" ht="13.5" customHeight="1" x14ac:dyDescent="0.15">
      <c r="B802" s="33"/>
      <c r="C802" s="7" t="s">
        <v>6</v>
      </c>
      <c r="D802" s="10">
        <v>5</v>
      </c>
      <c r="E802" s="8" t="s">
        <v>7</v>
      </c>
      <c r="F802" s="12">
        <f>ROUND(C12*480,0)</f>
        <v>3082</v>
      </c>
      <c r="G802" s="36"/>
      <c r="H802" s="17"/>
    </row>
    <row r="803" spans="2:8" s="1" customFormat="1" ht="14.25" thickBot="1" x14ac:dyDescent="0.2">
      <c r="B803" s="34"/>
      <c r="C803" s="18" t="s">
        <v>16</v>
      </c>
      <c r="D803" s="19" t="s">
        <v>402</v>
      </c>
      <c r="E803" s="20" t="s">
        <v>17</v>
      </c>
      <c r="F803" s="21" t="s">
        <v>51</v>
      </c>
      <c r="G803" s="22" t="s">
        <v>20</v>
      </c>
      <c r="H803" s="23" t="s">
        <v>37</v>
      </c>
    </row>
    <row r="804" spans="2:8" s="1" customFormat="1" x14ac:dyDescent="0.15">
      <c r="B804" s="13" t="s">
        <v>1</v>
      </c>
      <c r="C804" s="14" t="s">
        <v>0</v>
      </c>
      <c r="D804" s="29" t="s">
        <v>307</v>
      </c>
      <c r="E804" s="30"/>
      <c r="F804" s="31"/>
      <c r="G804" s="15" t="s">
        <v>57</v>
      </c>
      <c r="H804" s="16" t="s">
        <v>55</v>
      </c>
    </row>
    <row r="805" spans="2:8" s="1" customFormat="1" x14ac:dyDescent="0.15">
      <c r="B805" s="32">
        <v>100162</v>
      </c>
      <c r="C805" s="2" t="s">
        <v>2</v>
      </c>
      <c r="D805" s="9">
        <f>ROUND(C12*720,0)</f>
        <v>4622</v>
      </c>
      <c r="E805" s="3" t="s">
        <v>3</v>
      </c>
      <c r="F805" s="11">
        <f>ROUND(C12*1584,0)</f>
        <v>10169</v>
      </c>
      <c r="G805" s="4" t="s">
        <v>8</v>
      </c>
      <c r="H805" s="17" t="s">
        <v>30</v>
      </c>
    </row>
    <row r="806" spans="2:8" s="1" customFormat="1" ht="13.5" customHeight="1" x14ac:dyDescent="0.15">
      <c r="B806" s="33"/>
      <c r="C806" s="5" t="s">
        <v>4</v>
      </c>
      <c r="D806" s="9">
        <f>ROUND(C12*880,0)</f>
        <v>5650</v>
      </c>
      <c r="E806" s="6" t="s">
        <v>5</v>
      </c>
      <c r="F806" s="11">
        <f>ROUND(C12*1936,0)</f>
        <v>12429</v>
      </c>
      <c r="G806" s="35">
        <v>100</v>
      </c>
      <c r="H806" s="17"/>
    </row>
    <row r="807" spans="2:8" s="1" customFormat="1" ht="13.5" customHeight="1" x14ac:dyDescent="0.15">
      <c r="B807" s="33"/>
      <c r="C807" s="7" t="s">
        <v>6</v>
      </c>
      <c r="D807" s="10">
        <v>3</v>
      </c>
      <c r="E807" s="8" t="s">
        <v>7</v>
      </c>
      <c r="F807" s="12">
        <f>ROUND(C12*480,0)</f>
        <v>3082</v>
      </c>
      <c r="G807" s="36"/>
      <c r="H807" s="17"/>
    </row>
    <row r="808" spans="2:8" s="1" customFormat="1" ht="14.25" thickBot="1" x14ac:dyDescent="0.2">
      <c r="B808" s="34"/>
      <c r="C808" s="18" t="s">
        <v>16</v>
      </c>
      <c r="D808" s="19" t="s">
        <v>48</v>
      </c>
      <c r="E808" s="20" t="s">
        <v>17</v>
      </c>
      <c r="F808" s="21" t="s">
        <v>56</v>
      </c>
      <c r="G808" s="22" t="s">
        <v>20</v>
      </c>
      <c r="H808" s="23" t="s">
        <v>37</v>
      </c>
    </row>
    <row r="809" spans="2:8" s="1" customFormat="1" x14ac:dyDescent="0.15">
      <c r="B809" s="13" t="s">
        <v>1</v>
      </c>
      <c r="C809" s="14" t="s">
        <v>0</v>
      </c>
      <c r="D809" s="29" t="s">
        <v>308</v>
      </c>
      <c r="E809" s="30"/>
      <c r="F809" s="31"/>
      <c r="G809" s="15" t="s">
        <v>57</v>
      </c>
      <c r="H809" s="16" t="s">
        <v>77</v>
      </c>
    </row>
    <row r="810" spans="2:8" s="1" customFormat="1" x14ac:dyDescent="0.15">
      <c r="B810" s="32">
        <v>100163</v>
      </c>
      <c r="C810" s="2" t="s">
        <v>2</v>
      </c>
      <c r="D810" s="9">
        <f>ROUND(C12*720,0)</f>
        <v>4622</v>
      </c>
      <c r="E810" s="3" t="s">
        <v>3</v>
      </c>
      <c r="F810" s="11">
        <f>ROUND(C12*1584,0)</f>
        <v>10169</v>
      </c>
      <c r="G810" s="4" t="s">
        <v>8</v>
      </c>
      <c r="H810" s="17" t="s">
        <v>78</v>
      </c>
    </row>
    <row r="811" spans="2:8" s="1" customFormat="1" ht="13.5" customHeight="1" x14ac:dyDescent="0.15">
      <c r="B811" s="33"/>
      <c r="C811" s="5" t="s">
        <v>4</v>
      </c>
      <c r="D811" s="9">
        <f>ROUND(C12*880,0)</f>
        <v>5650</v>
      </c>
      <c r="E811" s="6" t="s">
        <v>5</v>
      </c>
      <c r="F811" s="11">
        <f>ROUND(C12*1936,0)</f>
        <v>12429</v>
      </c>
      <c r="G811" s="35">
        <v>100</v>
      </c>
      <c r="H811" s="17"/>
    </row>
    <row r="812" spans="2:8" s="1" customFormat="1" ht="13.5" customHeight="1" x14ac:dyDescent="0.15">
      <c r="B812" s="33"/>
      <c r="C812" s="7" t="s">
        <v>6</v>
      </c>
      <c r="D812" s="10">
        <v>3</v>
      </c>
      <c r="E812" s="8" t="s">
        <v>7</v>
      </c>
      <c r="F812" s="12">
        <f>ROUND(C12*530,0)</f>
        <v>3403</v>
      </c>
      <c r="G812" s="36"/>
      <c r="H812" s="17"/>
    </row>
    <row r="813" spans="2:8" s="1" customFormat="1" ht="14.25" thickBot="1" x14ac:dyDescent="0.2">
      <c r="B813" s="34"/>
      <c r="C813" s="18" t="s">
        <v>16</v>
      </c>
      <c r="D813" s="19" t="s">
        <v>85</v>
      </c>
      <c r="E813" s="20" t="s">
        <v>17</v>
      </c>
      <c r="F813" s="21" t="s">
        <v>418</v>
      </c>
      <c r="G813" s="22" t="s">
        <v>20</v>
      </c>
      <c r="H813" s="23" t="s">
        <v>37</v>
      </c>
    </row>
    <row r="814" spans="2:8" s="1" customFormat="1" x14ac:dyDescent="0.15">
      <c r="B814" s="13" t="s">
        <v>1</v>
      </c>
      <c r="C814" s="14" t="s">
        <v>0</v>
      </c>
      <c r="D814" s="29" t="s">
        <v>309</v>
      </c>
      <c r="E814" s="30"/>
      <c r="F814" s="31"/>
      <c r="G814" s="15" t="s">
        <v>57</v>
      </c>
      <c r="H814" s="16" t="s">
        <v>50</v>
      </c>
    </row>
    <row r="815" spans="2:8" s="1" customFormat="1" x14ac:dyDescent="0.15">
      <c r="B815" s="32">
        <v>100164</v>
      </c>
      <c r="C815" s="2" t="s">
        <v>2</v>
      </c>
      <c r="D815" s="9">
        <f>ROUND(C12*720,0)</f>
        <v>4622</v>
      </c>
      <c r="E815" s="3" t="s">
        <v>3</v>
      </c>
      <c r="F815" s="11">
        <f>ROUND(C12*1936,0)</f>
        <v>12429</v>
      </c>
      <c r="G815" s="4" t="s">
        <v>8</v>
      </c>
      <c r="H815" s="17" t="s">
        <v>29</v>
      </c>
    </row>
    <row r="816" spans="2:8" s="1" customFormat="1" ht="13.5" customHeight="1" x14ac:dyDescent="0.15">
      <c r="B816" s="33"/>
      <c r="C816" s="5" t="s">
        <v>4</v>
      </c>
      <c r="D816" s="9">
        <f>ROUND(C12*880,0)</f>
        <v>5650</v>
      </c>
      <c r="E816" s="6" t="s">
        <v>5</v>
      </c>
      <c r="F816" s="11">
        <f>ROUND(C12*1584,0)</f>
        <v>10169</v>
      </c>
      <c r="G816" s="35">
        <v>100</v>
      </c>
      <c r="H816" s="17"/>
    </row>
    <row r="817" spans="2:8" s="1" customFormat="1" ht="13.5" customHeight="1" x14ac:dyDescent="0.15">
      <c r="B817" s="33"/>
      <c r="C817" s="7" t="s">
        <v>6</v>
      </c>
      <c r="D817" s="10">
        <v>3</v>
      </c>
      <c r="E817" s="8" t="s">
        <v>7</v>
      </c>
      <c r="F817" s="12">
        <f>ROUND(C12*480,0)</f>
        <v>3082</v>
      </c>
      <c r="G817" s="36"/>
      <c r="H817" s="17"/>
    </row>
    <row r="818" spans="2:8" s="1" customFormat="1" ht="14.25" thickBot="1" x14ac:dyDescent="0.2">
      <c r="B818" s="34"/>
      <c r="C818" s="18" t="s">
        <v>16</v>
      </c>
      <c r="D818" s="19" t="s">
        <v>71</v>
      </c>
      <c r="E818" s="20" t="s">
        <v>17</v>
      </c>
      <c r="F818" s="21" t="s">
        <v>51</v>
      </c>
      <c r="G818" s="22" t="s">
        <v>20</v>
      </c>
      <c r="H818" s="23" t="s">
        <v>37</v>
      </c>
    </row>
    <row r="819" spans="2:8" s="1" customFormat="1" x14ac:dyDescent="0.15">
      <c r="B819" s="13" t="s">
        <v>1</v>
      </c>
      <c r="C819" s="14" t="s">
        <v>0</v>
      </c>
      <c r="D819" s="29" t="s">
        <v>310</v>
      </c>
      <c r="E819" s="30"/>
      <c r="F819" s="31"/>
      <c r="G819" s="15" t="s">
        <v>57</v>
      </c>
      <c r="H819" s="16" t="s">
        <v>46</v>
      </c>
    </row>
    <row r="820" spans="2:8" s="1" customFormat="1" x14ac:dyDescent="0.15">
      <c r="B820" s="32">
        <v>100165</v>
      </c>
      <c r="C820" s="2" t="s">
        <v>2</v>
      </c>
      <c r="D820" s="9">
        <f>ROUND(C12*720,0)</f>
        <v>4622</v>
      </c>
      <c r="E820" s="3" t="s">
        <v>3</v>
      </c>
      <c r="F820" s="11">
        <f>ROUND(C12*720,0)</f>
        <v>4622</v>
      </c>
      <c r="G820" s="4" t="s">
        <v>8</v>
      </c>
      <c r="H820" s="17" t="s">
        <v>27</v>
      </c>
    </row>
    <row r="821" spans="2:8" s="1" customFormat="1" ht="13.5" customHeight="1" x14ac:dyDescent="0.15">
      <c r="B821" s="33"/>
      <c r="C821" s="5" t="s">
        <v>4</v>
      </c>
      <c r="D821" s="9">
        <f>ROUND(C12*880,0)</f>
        <v>5650</v>
      </c>
      <c r="E821" s="6" t="s">
        <v>5</v>
      </c>
      <c r="F821" s="11">
        <f>ROUND(C12*880,0)</f>
        <v>5650</v>
      </c>
      <c r="G821" s="35">
        <v>100</v>
      </c>
      <c r="H821" s="17"/>
    </row>
    <row r="822" spans="2:8" s="1" customFormat="1" ht="13.5" customHeight="1" x14ac:dyDescent="0.15">
      <c r="B822" s="33"/>
      <c r="C822" s="7" t="s">
        <v>6</v>
      </c>
      <c r="D822" s="10">
        <v>5</v>
      </c>
      <c r="E822" s="8" t="s">
        <v>7</v>
      </c>
      <c r="F822" s="12">
        <f>ROUND(C12*480,0)</f>
        <v>3082</v>
      </c>
      <c r="G822" s="36"/>
      <c r="H822" s="17"/>
    </row>
    <row r="823" spans="2:8" s="1" customFormat="1" ht="14.25" thickBot="1" x14ac:dyDescent="0.2">
      <c r="B823" s="34"/>
      <c r="C823" s="18" t="s">
        <v>16</v>
      </c>
      <c r="D823" s="19" t="s">
        <v>82</v>
      </c>
      <c r="E823" s="20" t="s">
        <v>17</v>
      </c>
      <c r="F823" s="21" t="s">
        <v>54</v>
      </c>
      <c r="G823" s="22" t="s">
        <v>20</v>
      </c>
      <c r="H823" s="23" t="s">
        <v>37</v>
      </c>
    </row>
    <row r="824" spans="2:8" s="1" customFormat="1" x14ac:dyDescent="0.15">
      <c r="B824" s="13" t="s">
        <v>1</v>
      </c>
      <c r="C824" s="14" t="s">
        <v>0</v>
      </c>
      <c r="D824" s="29" t="s">
        <v>311</v>
      </c>
      <c r="E824" s="30"/>
      <c r="F824" s="31"/>
      <c r="G824" s="15" t="s">
        <v>57</v>
      </c>
      <c r="H824" s="16" t="s">
        <v>98</v>
      </c>
    </row>
    <row r="825" spans="2:8" s="1" customFormat="1" x14ac:dyDescent="0.15">
      <c r="B825" s="32">
        <v>100166</v>
      </c>
      <c r="C825" s="2" t="s">
        <v>2</v>
      </c>
      <c r="D825" s="9">
        <f>ROUND(C12*720,0)</f>
        <v>4622</v>
      </c>
      <c r="E825" s="3" t="s">
        <v>3</v>
      </c>
      <c r="F825" s="11">
        <f>ROUND(C12*1936,0)</f>
        <v>12429</v>
      </c>
      <c r="G825" s="4" t="s">
        <v>8</v>
      </c>
      <c r="H825" s="17" t="s">
        <v>99</v>
      </c>
    </row>
    <row r="826" spans="2:8" s="1" customFormat="1" ht="13.5" customHeight="1" x14ac:dyDescent="0.15">
      <c r="B826" s="33"/>
      <c r="C826" s="5" t="s">
        <v>4</v>
      </c>
      <c r="D826" s="9">
        <f>ROUND(C12*880,0)</f>
        <v>5650</v>
      </c>
      <c r="E826" s="6" t="s">
        <v>5</v>
      </c>
      <c r="F826" s="11">
        <f>ROUND(C12*1584,0)</f>
        <v>10169</v>
      </c>
      <c r="G826" s="35">
        <v>100</v>
      </c>
      <c r="H826" s="17"/>
    </row>
    <row r="827" spans="2:8" s="1" customFormat="1" ht="13.5" customHeight="1" x14ac:dyDescent="0.15">
      <c r="B827" s="33"/>
      <c r="C827" s="7" t="s">
        <v>6</v>
      </c>
      <c r="D827" s="10">
        <v>3</v>
      </c>
      <c r="E827" s="8" t="s">
        <v>7</v>
      </c>
      <c r="F827" s="12">
        <f>ROUND(C12*530,0)</f>
        <v>3403</v>
      </c>
      <c r="G827" s="36"/>
      <c r="H827" s="17"/>
    </row>
    <row r="828" spans="2:8" s="1" customFormat="1" ht="14.25" thickBot="1" x14ac:dyDescent="0.2">
      <c r="B828" s="34"/>
      <c r="C828" s="18" t="s">
        <v>16</v>
      </c>
      <c r="D828" s="19" t="s">
        <v>100</v>
      </c>
      <c r="E828" s="20" t="s">
        <v>17</v>
      </c>
      <c r="F828" s="21" t="s">
        <v>218</v>
      </c>
      <c r="G828" s="22" t="s">
        <v>20</v>
      </c>
      <c r="H828" s="23" t="s">
        <v>37</v>
      </c>
    </row>
    <row r="829" spans="2:8" s="1" customFormat="1" x14ac:dyDescent="0.15">
      <c r="B829" s="13" t="s">
        <v>1</v>
      </c>
      <c r="C829" s="14" t="s">
        <v>0</v>
      </c>
      <c r="D829" s="29" t="s">
        <v>312</v>
      </c>
      <c r="E829" s="30"/>
      <c r="F829" s="31"/>
      <c r="G829" s="15" t="s">
        <v>57</v>
      </c>
      <c r="H829" s="16" t="s">
        <v>108</v>
      </c>
    </row>
    <row r="830" spans="2:8" s="1" customFormat="1" x14ac:dyDescent="0.15">
      <c r="B830" s="32">
        <v>100167</v>
      </c>
      <c r="C830" s="2" t="s">
        <v>2</v>
      </c>
      <c r="D830" s="9">
        <f>ROUND(C12*720,0)</f>
        <v>4622</v>
      </c>
      <c r="E830" s="3" t="s">
        <v>3</v>
      </c>
      <c r="F830" s="11">
        <f>ROUND(C12*1583,0)</f>
        <v>10163</v>
      </c>
      <c r="G830" s="4" t="s">
        <v>8</v>
      </c>
      <c r="H830" s="17" t="s">
        <v>109</v>
      </c>
    </row>
    <row r="831" spans="2:8" s="1" customFormat="1" ht="13.5" customHeight="1" x14ac:dyDescent="0.15">
      <c r="B831" s="33"/>
      <c r="C831" s="5" t="s">
        <v>4</v>
      </c>
      <c r="D831" s="9">
        <f>ROUND(C12*880,0)</f>
        <v>5650</v>
      </c>
      <c r="E831" s="6" t="s">
        <v>5</v>
      </c>
      <c r="F831" s="11">
        <f>ROUND(C12*1936,0)</f>
        <v>12429</v>
      </c>
      <c r="G831" s="35">
        <v>100</v>
      </c>
      <c r="H831" s="17"/>
    </row>
    <row r="832" spans="2:8" s="1" customFormat="1" ht="13.5" customHeight="1" x14ac:dyDescent="0.15">
      <c r="B832" s="33"/>
      <c r="C832" s="7" t="s">
        <v>6</v>
      </c>
      <c r="D832" s="10">
        <v>3</v>
      </c>
      <c r="E832" s="8" t="s">
        <v>7</v>
      </c>
      <c r="F832" s="12">
        <f>ROUND(C12*480,0)</f>
        <v>3082</v>
      </c>
      <c r="G832" s="36"/>
      <c r="H832" s="17"/>
    </row>
    <row r="833" spans="2:8" s="1" customFormat="1" ht="14.25" thickBot="1" x14ac:dyDescent="0.2">
      <c r="B833" s="34"/>
      <c r="C833" s="18" t="s">
        <v>16</v>
      </c>
      <c r="D833" s="19" t="s">
        <v>396</v>
      </c>
      <c r="E833" s="20" t="s">
        <v>17</v>
      </c>
      <c r="F833" s="21" t="s">
        <v>33</v>
      </c>
      <c r="G833" s="22" t="s">
        <v>20</v>
      </c>
      <c r="H833" s="23" t="s">
        <v>37</v>
      </c>
    </row>
    <row r="834" spans="2:8" s="1" customFormat="1" x14ac:dyDescent="0.15">
      <c r="B834" s="13" t="s">
        <v>1</v>
      </c>
      <c r="C834" s="14" t="s">
        <v>0</v>
      </c>
      <c r="D834" s="29" t="s">
        <v>313</v>
      </c>
      <c r="E834" s="30"/>
      <c r="F834" s="31"/>
      <c r="G834" s="15" t="s">
        <v>57</v>
      </c>
      <c r="H834" s="16" t="s">
        <v>46</v>
      </c>
    </row>
    <row r="835" spans="2:8" s="1" customFormat="1" x14ac:dyDescent="0.15">
      <c r="B835" s="32">
        <v>100168</v>
      </c>
      <c r="C835" s="2" t="s">
        <v>2</v>
      </c>
      <c r="D835" s="9">
        <f>ROUND(C12*880,0)</f>
        <v>5650</v>
      </c>
      <c r="E835" s="3" t="s">
        <v>3</v>
      </c>
      <c r="F835" s="11">
        <f>ROUND(C12*880,0)</f>
        <v>5650</v>
      </c>
      <c r="G835" s="4" t="s">
        <v>8</v>
      </c>
      <c r="H835" s="17" t="s">
        <v>27</v>
      </c>
    </row>
    <row r="836" spans="2:8" s="1" customFormat="1" ht="13.5" customHeight="1" x14ac:dyDescent="0.15">
      <c r="B836" s="33"/>
      <c r="C836" s="5" t="s">
        <v>4</v>
      </c>
      <c r="D836" s="9">
        <f>ROUND(C12*720,0)</f>
        <v>4622</v>
      </c>
      <c r="E836" s="6" t="s">
        <v>5</v>
      </c>
      <c r="F836" s="11">
        <f>ROUND(C12*720,0)</f>
        <v>4622</v>
      </c>
      <c r="G836" s="35">
        <v>100</v>
      </c>
      <c r="H836" s="17"/>
    </row>
    <row r="837" spans="2:8" s="1" customFormat="1" ht="13.5" customHeight="1" x14ac:dyDescent="0.15">
      <c r="B837" s="33"/>
      <c r="C837" s="7" t="s">
        <v>6</v>
      </c>
      <c r="D837" s="10">
        <v>5</v>
      </c>
      <c r="E837" s="8" t="s">
        <v>7</v>
      </c>
      <c r="F837" s="12">
        <f>ROUND(C12*480,0)</f>
        <v>3082</v>
      </c>
      <c r="G837" s="36"/>
      <c r="H837" s="17"/>
    </row>
    <row r="838" spans="2:8" s="1" customFormat="1" ht="14.25" thickBot="1" x14ac:dyDescent="0.2">
      <c r="B838" s="34"/>
      <c r="C838" s="18" t="s">
        <v>16</v>
      </c>
      <c r="D838" s="19" t="s">
        <v>54</v>
      </c>
      <c r="E838" s="20" t="s">
        <v>17</v>
      </c>
      <c r="F838" s="21" t="s">
        <v>51</v>
      </c>
      <c r="G838" s="22" t="s">
        <v>20</v>
      </c>
      <c r="H838" s="23" t="s">
        <v>37</v>
      </c>
    </row>
    <row r="839" spans="2:8" s="1" customFormat="1" x14ac:dyDescent="0.15">
      <c r="B839" s="13" t="s">
        <v>1</v>
      </c>
      <c r="C839" s="14" t="s">
        <v>0</v>
      </c>
      <c r="D839" s="29" t="s">
        <v>314</v>
      </c>
      <c r="E839" s="30"/>
      <c r="F839" s="31"/>
      <c r="G839" s="15" t="s">
        <v>57</v>
      </c>
      <c r="H839" s="16" t="s">
        <v>188</v>
      </c>
    </row>
    <row r="840" spans="2:8" s="1" customFormat="1" x14ac:dyDescent="0.15">
      <c r="B840" s="32">
        <v>100169</v>
      </c>
      <c r="C840" s="2" t="s">
        <v>2</v>
      </c>
      <c r="D840" s="9">
        <f>ROUND(C12*815,0)</f>
        <v>5232</v>
      </c>
      <c r="E840" s="3" t="s">
        <v>3</v>
      </c>
      <c r="F840" s="11">
        <f>ROUND(C12*830,0)</f>
        <v>5329</v>
      </c>
      <c r="G840" s="4" t="s">
        <v>8</v>
      </c>
      <c r="H840" s="17" t="s">
        <v>189</v>
      </c>
    </row>
    <row r="841" spans="2:8" s="1" customFormat="1" ht="13.5" customHeight="1" x14ac:dyDescent="0.15">
      <c r="B841" s="33"/>
      <c r="C841" s="5" t="s">
        <v>4</v>
      </c>
      <c r="D841" s="9">
        <f>ROUND(C12*815,0)</f>
        <v>5232</v>
      </c>
      <c r="E841" s="6" t="s">
        <v>5</v>
      </c>
      <c r="F841" s="11">
        <f>ROUND(C12*830,0)</f>
        <v>5329</v>
      </c>
      <c r="G841" s="35">
        <v>50</v>
      </c>
      <c r="H841" s="17"/>
    </row>
    <row r="842" spans="2:8" s="1" customFormat="1" ht="13.5" customHeight="1" x14ac:dyDescent="0.15">
      <c r="B842" s="33"/>
      <c r="C842" s="7" t="s">
        <v>6</v>
      </c>
      <c r="D842" s="10">
        <v>5</v>
      </c>
      <c r="E842" s="8" t="s">
        <v>7</v>
      </c>
      <c r="F842" s="12">
        <f>ROUND(C12*530,0)</f>
        <v>3403</v>
      </c>
      <c r="G842" s="36"/>
      <c r="H842" s="17"/>
    </row>
    <row r="843" spans="2:8" s="1" customFormat="1" ht="14.25" thickBot="1" x14ac:dyDescent="0.2">
      <c r="B843" s="34"/>
      <c r="C843" s="18" t="s">
        <v>16</v>
      </c>
      <c r="D843" s="19" t="s">
        <v>85</v>
      </c>
      <c r="E843" s="20" t="s">
        <v>17</v>
      </c>
      <c r="F843" s="21" t="s">
        <v>49</v>
      </c>
      <c r="G843" s="22" t="s">
        <v>20</v>
      </c>
      <c r="H843" s="23" t="s">
        <v>121</v>
      </c>
    </row>
    <row r="844" spans="2:8" s="1" customFormat="1" x14ac:dyDescent="0.15">
      <c r="B844" s="13" t="s">
        <v>1</v>
      </c>
      <c r="C844" s="14" t="s">
        <v>0</v>
      </c>
      <c r="D844" s="29" t="s">
        <v>315</v>
      </c>
      <c r="E844" s="30"/>
      <c r="F844" s="31"/>
      <c r="G844" s="15" t="s">
        <v>57</v>
      </c>
      <c r="H844" s="16" t="s">
        <v>80</v>
      </c>
    </row>
    <row r="845" spans="2:8" s="1" customFormat="1" x14ac:dyDescent="0.15">
      <c r="B845" s="32">
        <v>100170</v>
      </c>
      <c r="C845" s="2" t="s">
        <v>2</v>
      </c>
      <c r="D845" s="9">
        <f>ROUND(C12*815,0)</f>
        <v>5232</v>
      </c>
      <c r="E845" s="3" t="s">
        <v>3</v>
      </c>
      <c r="F845" s="11">
        <f>ROUND(C12*830,0)</f>
        <v>5329</v>
      </c>
      <c r="G845" s="4" t="s">
        <v>8</v>
      </c>
      <c r="H845" s="17" t="s">
        <v>81</v>
      </c>
    </row>
    <row r="846" spans="2:8" s="1" customFormat="1" ht="13.5" customHeight="1" x14ac:dyDescent="0.15">
      <c r="B846" s="33"/>
      <c r="C846" s="5" t="s">
        <v>4</v>
      </c>
      <c r="D846" s="9">
        <f>ROUND(C12*815,0)</f>
        <v>5232</v>
      </c>
      <c r="E846" s="6" t="s">
        <v>5</v>
      </c>
      <c r="F846" s="11">
        <f>ROUND(C12*830,0)</f>
        <v>5329</v>
      </c>
      <c r="G846" s="35">
        <v>100</v>
      </c>
      <c r="H846" s="17"/>
    </row>
    <row r="847" spans="2:8" s="1" customFormat="1" ht="13.5" customHeight="1" x14ac:dyDescent="0.15">
      <c r="B847" s="33"/>
      <c r="C847" s="7" t="s">
        <v>6</v>
      </c>
      <c r="D847" s="10">
        <v>5</v>
      </c>
      <c r="E847" s="8" t="s">
        <v>7</v>
      </c>
      <c r="F847" s="12">
        <f>ROUND(C12*530,0)</f>
        <v>3403</v>
      </c>
      <c r="G847" s="36"/>
      <c r="H847" s="17"/>
    </row>
    <row r="848" spans="2:8" s="1" customFormat="1" ht="14.25" thickBot="1" x14ac:dyDescent="0.2">
      <c r="B848" s="34"/>
      <c r="C848" s="18" t="s">
        <v>16</v>
      </c>
      <c r="D848" s="19" t="s">
        <v>36</v>
      </c>
      <c r="E848" s="20" t="s">
        <v>17</v>
      </c>
      <c r="F848" s="21" t="s">
        <v>100</v>
      </c>
      <c r="G848" s="22" t="s">
        <v>20</v>
      </c>
      <c r="H848" s="23" t="s">
        <v>37</v>
      </c>
    </row>
    <row r="849" spans="2:8" s="1" customFormat="1" x14ac:dyDescent="0.15">
      <c r="B849" s="13" t="s">
        <v>1</v>
      </c>
      <c r="C849" s="14" t="s">
        <v>0</v>
      </c>
      <c r="D849" s="29" t="s">
        <v>316</v>
      </c>
      <c r="E849" s="30"/>
      <c r="F849" s="31"/>
      <c r="G849" s="15" t="s">
        <v>57</v>
      </c>
      <c r="H849" s="16" t="s">
        <v>50</v>
      </c>
    </row>
    <row r="850" spans="2:8" s="1" customFormat="1" x14ac:dyDescent="0.15">
      <c r="B850" s="32">
        <v>100171</v>
      </c>
      <c r="C850" s="2" t="s">
        <v>2</v>
      </c>
      <c r="D850" s="9">
        <f>ROUND(C12*720,0)</f>
        <v>4622</v>
      </c>
      <c r="E850" s="3" t="s">
        <v>3</v>
      </c>
      <c r="F850" s="11">
        <f>ROUND(C12*1936,0)</f>
        <v>12429</v>
      </c>
      <c r="G850" s="4" t="s">
        <v>8</v>
      </c>
      <c r="H850" s="17" t="s">
        <v>29</v>
      </c>
    </row>
    <row r="851" spans="2:8" s="1" customFormat="1" ht="13.5" customHeight="1" x14ac:dyDescent="0.15">
      <c r="B851" s="33"/>
      <c r="C851" s="5" t="s">
        <v>4</v>
      </c>
      <c r="D851" s="9">
        <f>ROUND(C12*880,0)</f>
        <v>5650</v>
      </c>
      <c r="E851" s="6" t="s">
        <v>5</v>
      </c>
      <c r="F851" s="11">
        <f>ROUND(C12*1583,0)</f>
        <v>10163</v>
      </c>
      <c r="G851" s="35">
        <v>100</v>
      </c>
      <c r="H851" s="17"/>
    </row>
    <row r="852" spans="2:8" s="1" customFormat="1" ht="13.5" customHeight="1" x14ac:dyDescent="0.15">
      <c r="B852" s="33"/>
      <c r="C852" s="7" t="s">
        <v>6</v>
      </c>
      <c r="D852" s="10">
        <v>3</v>
      </c>
      <c r="E852" s="8" t="s">
        <v>7</v>
      </c>
      <c r="F852" s="12">
        <f>ROUND(C12*480,0)</f>
        <v>3082</v>
      </c>
      <c r="G852" s="36"/>
      <c r="H852" s="17"/>
    </row>
    <row r="853" spans="2:8" s="1" customFormat="1" ht="14.25" thickBot="1" x14ac:dyDescent="0.2">
      <c r="B853" s="34"/>
      <c r="C853" s="18" t="s">
        <v>16</v>
      </c>
      <c r="D853" s="19" t="s">
        <v>421</v>
      </c>
      <c r="E853" s="20" t="s">
        <v>17</v>
      </c>
      <c r="F853" s="21" t="s">
        <v>397</v>
      </c>
      <c r="G853" s="22" t="s">
        <v>20</v>
      </c>
      <c r="H853" s="23" t="s">
        <v>37</v>
      </c>
    </row>
    <row r="854" spans="2:8" s="1" customFormat="1" x14ac:dyDescent="0.15">
      <c r="B854" s="13" t="s">
        <v>1</v>
      </c>
      <c r="C854" s="14" t="s">
        <v>0</v>
      </c>
      <c r="D854" s="29" t="s">
        <v>317</v>
      </c>
      <c r="E854" s="30"/>
      <c r="F854" s="31"/>
      <c r="G854" s="15" t="s">
        <v>57</v>
      </c>
      <c r="H854" s="16" t="s">
        <v>98</v>
      </c>
    </row>
    <row r="855" spans="2:8" s="1" customFormat="1" x14ac:dyDescent="0.15">
      <c r="B855" s="32">
        <v>100172</v>
      </c>
      <c r="C855" s="2" t="s">
        <v>2</v>
      </c>
      <c r="D855" s="9">
        <f>ROUND(C12*880,0)</f>
        <v>5650</v>
      </c>
      <c r="E855" s="3" t="s">
        <v>3</v>
      </c>
      <c r="F855" s="11">
        <f>ROUND(C12*880,0)</f>
        <v>5650</v>
      </c>
      <c r="G855" s="4" t="s">
        <v>8</v>
      </c>
      <c r="H855" s="17" t="s">
        <v>99</v>
      </c>
    </row>
    <row r="856" spans="2:8" s="1" customFormat="1" ht="13.5" customHeight="1" x14ac:dyDescent="0.15">
      <c r="B856" s="33"/>
      <c r="C856" s="5" t="s">
        <v>4</v>
      </c>
      <c r="D856" s="9">
        <f>ROUND(C12*720,0)</f>
        <v>4622</v>
      </c>
      <c r="E856" s="6" t="s">
        <v>5</v>
      </c>
      <c r="F856" s="11">
        <f>ROUND(C12*720,0)</f>
        <v>4622</v>
      </c>
      <c r="G856" s="35">
        <v>100</v>
      </c>
      <c r="H856" s="17"/>
    </row>
    <row r="857" spans="2:8" s="1" customFormat="1" ht="13.5" customHeight="1" x14ac:dyDescent="0.15">
      <c r="B857" s="33"/>
      <c r="C857" s="7" t="s">
        <v>6</v>
      </c>
      <c r="D857" s="10">
        <v>5</v>
      </c>
      <c r="E857" s="8" t="s">
        <v>7</v>
      </c>
      <c r="F857" s="12">
        <f>ROUND(C12*480,0)</f>
        <v>3082</v>
      </c>
      <c r="G857" s="36"/>
      <c r="H857" s="17"/>
    </row>
    <row r="858" spans="2:8" s="1" customFormat="1" ht="14.25" thickBot="1" x14ac:dyDescent="0.2">
      <c r="B858" s="34"/>
      <c r="C858" s="18" t="s">
        <v>16</v>
      </c>
      <c r="D858" s="19" t="s">
        <v>56</v>
      </c>
      <c r="E858" s="20" t="s">
        <v>17</v>
      </c>
      <c r="F858" s="21" t="s">
        <v>51</v>
      </c>
      <c r="G858" s="22" t="s">
        <v>20</v>
      </c>
      <c r="H858" s="23" t="s">
        <v>37</v>
      </c>
    </row>
    <row r="859" spans="2:8" s="1" customFormat="1" x14ac:dyDescent="0.15">
      <c r="B859" s="13" t="s">
        <v>1</v>
      </c>
      <c r="C859" s="14" t="s">
        <v>0</v>
      </c>
      <c r="D859" s="29" t="s">
        <v>318</v>
      </c>
      <c r="E859" s="30"/>
      <c r="F859" s="31"/>
      <c r="G859" s="15" t="s">
        <v>57</v>
      </c>
      <c r="H859" s="16" t="s">
        <v>159</v>
      </c>
    </row>
    <row r="860" spans="2:8" s="1" customFormat="1" x14ac:dyDescent="0.15">
      <c r="B860" s="32">
        <v>100173</v>
      </c>
      <c r="C860" s="2" t="s">
        <v>2</v>
      </c>
      <c r="D860" s="9">
        <f>ROUND(C12*815,0)</f>
        <v>5232</v>
      </c>
      <c r="E860" s="3" t="s">
        <v>3</v>
      </c>
      <c r="F860" s="11">
        <f>ROUND(C12*830,0)</f>
        <v>5329</v>
      </c>
      <c r="G860" s="4" t="s">
        <v>8</v>
      </c>
      <c r="H860" s="17" t="s">
        <v>160</v>
      </c>
    </row>
    <row r="861" spans="2:8" s="1" customFormat="1" ht="13.5" customHeight="1" x14ac:dyDescent="0.15">
      <c r="B861" s="33"/>
      <c r="C861" s="5" t="s">
        <v>4</v>
      </c>
      <c r="D861" s="9">
        <f>ROUND(C12*815,0)</f>
        <v>5232</v>
      </c>
      <c r="E861" s="6" t="s">
        <v>5</v>
      </c>
      <c r="F861" s="11">
        <f>ROUND(C12*830,0)</f>
        <v>5329</v>
      </c>
      <c r="G861" s="35">
        <v>50</v>
      </c>
      <c r="H861" s="17"/>
    </row>
    <row r="862" spans="2:8" s="1" customFormat="1" ht="13.5" customHeight="1" x14ac:dyDescent="0.15">
      <c r="B862" s="33"/>
      <c r="C862" s="7" t="s">
        <v>6</v>
      </c>
      <c r="D862" s="10">
        <v>5</v>
      </c>
      <c r="E862" s="8" t="s">
        <v>7</v>
      </c>
      <c r="F862" s="12">
        <f>ROUND(C12*530,0)</f>
        <v>3403</v>
      </c>
      <c r="G862" s="36"/>
      <c r="H862" s="17"/>
    </row>
    <row r="863" spans="2:8" s="1" customFormat="1" ht="14.25" thickBot="1" x14ac:dyDescent="0.2">
      <c r="B863" s="34"/>
      <c r="C863" s="18" t="s">
        <v>16</v>
      </c>
      <c r="D863" s="19" t="s">
        <v>82</v>
      </c>
      <c r="E863" s="20" t="s">
        <v>17</v>
      </c>
      <c r="F863" s="21" t="s">
        <v>32</v>
      </c>
      <c r="G863" s="22" t="s">
        <v>20</v>
      </c>
      <c r="H863" s="23" t="s">
        <v>262</v>
      </c>
    </row>
    <row r="864" spans="2:8" s="1" customFormat="1" x14ac:dyDescent="0.15">
      <c r="B864" s="13" t="s">
        <v>1</v>
      </c>
      <c r="C864" s="14" t="s">
        <v>0</v>
      </c>
      <c r="D864" s="29" t="s">
        <v>319</v>
      </c>
      <c r="E864" s="30"/>
      <c r="F864" s="31"/>
      <c r="G864" s="15" t="s">
        <v>57</v>
      </c>
      <c r="H864" s="16" t="s">
        <v>119</v>
      </c>
    </row>
    <row r="865" spans="2:8" s="1" customFormat="1" x14ac:dyDescent="0.15">
      <c r="B865" s="32">
        <v>100174</v>
      </c>
      <c r="C865" s="2" t="s">
        <v>2</v>
      </c>
      <c r="D865" s="9">
        <f>ROUND(C12*815,0)</f>
        <v>5232</v>
      </c>
      <c r="E865" s="3" t="s">
        <v>3</v>
      </c>
      <c r="F865" s="11">
        <f>ROUND(C12*830,0)</f>
        <v>5329</v>
      </c>
      <c r="G865" s="4" t="s">
        <v>8</v>
      </c>
      <c r="H865" s="17" t="s">
        <v>120</v>
      </c>
    </row>
    <row r="866" spans="2:8" s="1" customFormat="1" ht="13.5" customHeight="1" x14ac:dyDescent="0.15">
      <c r="B866" s="33"/>
      <c r="C866" s="5" t="s">
        <v>4</v>
      </c>
      <c r="D866" s="9">
        <f>ROUND(C12*815,0)</f>
        <v>5232</v>
      </c>
      <c r="E866" s="6" t="s">
        <v>5</v>
      </c>
      <c r="F866" s="11">
        <f>ROUND(C12*830,0)</f>
        <v>5329</v>
      </c>
      <c r="G866" s="35">
        <v>100</v>
      </c>
      <c r="H866" s="17"/>
    </row>
    <row r="867" spans="2:8" s="1" customFormat="1" ht="13.5" customHeight="1" x14ac:dyDescent="0.15">
      <c r="B867" s="33"/>
      <c r="C867" s="7" t="s">
        <v>6</v>
      </c>
      <c r="D867" s="10">
        <v>5</v>
      </c>
      <c r="E867" s="8" t="s">
        <v>7</v>
      </c>
      <c r="F867" s="12">
        <f>ROUND(C12*530,0)</f>
        <v>3403</v>
      </c>
      <c r="G867" s="36"/>
      <c r="H867" s="17"/>
    </row>
    <row r="868" spans="2:8" s="1" customFormat="1" ht="14.25" thickBot="1" x14ac:dyDescent="0.2">
      <c r="B868" s="34"/>
      <c r="C868" s="18" t="s">
        <v>16</v>
      </c>
      <c r="D868" s="19" t="s">
        <v>113</v>
      </c>
      <c r="E868" s="20" t="s">
        <v>17</v>
      </c>
      <c r="F868" s="21" t="s">
        <v>430</v>
      </c>
      <c r="G868" s="22" t="s">
        <v>20</v>
      </c>
      <c r="H868" s="23" t="s">
        <v>121</v>
      </c>
    </row>
    <row r="869" spans="2:8" s="1" customFormat="1" x14ac:dyDescent="0.15">
      <c r="B869" s="13" t="s">
        <v>1</v>
      </c>
      <c r="C869" s="14" t="s">
        <v>0</v>
      </c>
      <c r="D869" s="29" t="s">
        <v>320</v>
      </c>
      <c r="E869" s="30"/>
      <c r="F869" s="31"/>
      <c r="G869" s="15" t="s">
        <v>57</v>
      </c>
      <c r="H869" s="16" t="s">
        <v>111</v>
      </c>
    </row>
    <row r="870" spans="2:8" s="1" customFormat="1" x14ac:dyDescent="0.15">
      <c r="B870" s="32">
        <v>100175</v>
      </c>
      <c r="C870" s="2" t="s">
        <v>2</v>
      </c>
      <c r="D870" s="9">
        <f>ROUND(C12*815,0)</f>
        <v>5232</v>
      </c>
      <c r="E870" s="3" t="s">
        <v>3</v>
      </c>
      <c r="F870" s="11">
        <f>ROUND(C12*830,0)</f>
        <v>5329</v>
      </c>
      <c r="G870" s="4" t="s">
        <v>8</v>
      </c>
      <c r="H870" s="17" t="s">
        <v>112</v>
      </c>
    </row>
    <row r="871" spans="2:8" s="1" customFormat="1" ht="13.5" customHeight="1" x14ac:dyDescent="0.15">
      <c r="B871" s="33"/>
      <c r="C871" s="5" t="s">
        <v>4</v>
      </c>
      <c r="D871" s="9">
        <f>ROUND(C12*815,0)</f>
        <v>5232</v>
      </c>
      <c r="E871" s="6" t="s">
        <v>5</v>
      </c>
      <c r="F871" s="11">
        <f>ROUND(C12*830,0)</f>
        <v>5329</v>
      </c>
      <c r="G871" s="35">
        <v>100</v>
      </c>
      <c r="H871" s="17"/>
    </row>
    <row r="872" spans="2:8" s="1" customFormat="1" ht="13.5" customHeight="1" x14ac:dyDescent="0.15">
      <c r="B872" s="33"/>
      <c r="C872" s="7" t="s">
        <v>6</v>
      </c>
      <c r="D872" s="10">
        <v>5</v>
      </c>
      <c r="E872" s="8" t="s">
        <v>7</v>
      </c>
      <c r="F872" s="12">
        <f>ROUND(C12*530,0)</f>
        <v>3403</v>
      </c>
      <c r="G872" s="36"/>
      <c r="H872" s="17"/>
    </row>
    <row r="873" spans="2:8" s="1" customFormat="1" ht="14.25" thickBot="1" x14ac:dyDescent="0.2">
      <c r="B873" s="34"/>
      <c r="C873" s="18" t="s">
        <v>16</v>
      </c>
      <c r="D873" s="19" t="s">
        <v>397</v>
      </c>
      <c r="E873" s="20" t="s">
        <v>17</v>
      </c>
      <c r="F873" s="21" t="s">
        <v>421</v>
      </c>
      <c r="G873" s="22" t="s">
        <v>20</v>
      </c>
      <c r="H873" s="23" t="s">
        <v>114</v>
      </c>
    </row>
    <row r="874" spans="2:8" s="1" customFormat="1" x14ac:dyDescent="0.15">
      <c r="B874" s="13" t="s">
        <v>1</v>
      </c>
      <c r="C874" s="14" t="s">
        <v>0</v>
      </c>
      <c r="D874" s="29" t="s">
        <v>321</v>
      </c>
      <c r="E874" s="30"/>
      <c r="F874" s="31"/>
      <c r="G874" s="15" t="s">
        <v>57</v>
      </c>
      <c r="H874" s="16" t="s">
        <v>35</v>
      </c>
    </row>
    <row r="875" spans="2:8" s="1" customFormat="1" x14ac:dyDescent="0.15">
      <c r="B875" s="32">
        <v>100176</v>
      </c>
      <c r="C875" s="2" t="s">
        <v>2</v>
      </c>
      <c r="D875" s="9">
        <f>ROUND(C12*815,0)</f>
        <v>5232</v>
      </c>
      <c r="E875" s="3" t="s">
        <v>3</v>
      </c>
      <c r="F875" s="11">
        <f>ROUND(C12*830,0)</f>
        <v>5329</v>
      </c>
      <c r="G875" s="4" t="s">
        <v>8</v>
      </c>
      <c r="H875" s="17" t="s">
        <v>23</v>
      </c>
    </row>
    <row r="876" spans="2:8" s="1" customFormat="1" ht="13.5" customHeight="1" x14ac:dyDescent="0.15">
      <c r="B876" s="33"/>
      <c r="C876" s="5" t="s">
        <v>4</v>
      </c>
      <c r="D876" s="9">
        <f>ROUND(C12*815,0)</f>
        <v>5232</v>
      </c>
      <c r="E876" s="6" t="s">
        <v>5</v>
      </c>
      <c r="F876" s="11">
        <f>ROUND(C12*830,0)</f>
        <v>5329</v>
      </c>
      <c r="G876" s="35">
        <v>100</v>
      </c>
      <c r="H876" s="17"/>
    </row>
    <row r="877" spans="2:8" s="1" customFormat="1" ht="13.5" customHeight="1" x14ac:dyDescent="0.15">
      <c r="B877" s="33"/>
      <c r="C877" s="7" t="s">
        <v>6</v>
      </c>
      <c r="D877" s="10">
        <v>5</v>
      </c>
      <c r="E877" s="8" t="s">
        <v>7</v>
      </c>
      <c r="F877" s="12">
        <f>ROUND(C12*500,0)</f>
        <v>3210</v>
      </c>
      <c r="G877" s="36"/>
      <c r="H877" s="17"/>
    </row>
    <row r="878" spans="2:8" s="1" customFormat="1" ht="14.25" thickBot="1" x14ac:dyDescent="0.2">
      <c r="B878" s="34"/>
      <c r="C878" s="18" t="s">
        <v>16</v>
      </c>
      <c r="D878" s="19" t="s">
        <v>48</v>
      </c>
      <c r="E878" s="20" t="s">
        <v>17</v>
      </c>
      <c r="F878" s="21" t="s">
        <v>49</v>
      </c>
      <c r="G878" s="22" t="s">
        <v>20</v>
      </c>
      <c r="H878" s="23" t="s">
        <v>37</v>
      </c>
    </row>
    <row r="879" spans="2:8" s="1" customFormat="1" x14ac:dyDescent="0.15">
      <c r="B879" s="13" t="s">
        <v>1</v>
      </c>
      <c r="C879" s="14" t="s">
        <v>0</v>
      </c>
      <c r="D879" s="29" t="s">
        <v>322</v>
      </c>
      <c r="E879" s="30"/>
      <c r="F879" s="31"/>
      <c r="G879" s="15" t="s">
        <v>57</v>
      </c>
      <c r="H879" s="16" t="s">
        <v>91</v>
      </c>
    </row>
    <row r="880" spans="2:8" s="1" customFormat="1" x14ac:dyDescent="0.15">
      <c r="B880" s="32">
        <v>100177</v>
      </c>
      <c r="C880" s="2" t="s">
        <v>2</v>
      </c>
      <c r="D880" s="9">
        <f>ROUND(C12*815,0)</f>
        <v>5232</v>
      </c>
      <c r="E880" s="3" t="s">
        <v>3</v>
      </c>
      <c r="F880" s="11">
        <f>ROUND(C12*830,0)</f>
        <v>5329</v>
      </c>
      <c r="G880" s="4" t="s">
        <v>8</v>
      </c>
      <c r="H880" s="17" t="s">
        <v>92</v>
      </c>
    </row>
    <row r="881" spans="2:8" s="1" customFormat="1" ht="13.5" customHeight="1" x14ac:dyDescent="0.15">
      <c r="B881" s="33"/>
      <c r="C881" s="5" t="s">
        <v>4</v>
      </c>
      <c r="D881" s="9">
        <f>ROUND(C12*815,0)</f>
        <v>5232</v>
      </c>
      <c r="E881" s="6" t="s">
        <v>5</v>
      </c>
      <c r="F881" s="11">
        <f>ROUND(C12*830,0)</f>
        <v>5329</v>
      </c>
      <c r="G881" s="35">
        <v>100</v>
      </c>
      <c r="H881" s="17"/>
    </row>
    <row r="882" spans="2:8" s="1" customFormat="1" ht="13.5" customHeight="1" x14ac:dyDescent="0.15">
      <c r="B882" s="33"/>
      <c r="C882" s="7" t="s">
        <v>6</v>
      </c>
      <c r="D882" s="10">
        <v>5</v>
      </c>
      <c r="E882" s="8" t="s">
        <v>7</v>
      </c>
      <c r="F882" s="12">
        <f>ROUND(C12*500,0)</f>
        <v>3210</v>
      </c>
      <c r="G882" s="36"/>
      <c r="H882" s="17"/>
    </row>
    <row r="883" spans="2:8" s="1" customFormat="1" ht="14.25" thickBot="1" x14ac:dyDescent="0.2">
      <c r="B883" s="34"/>
      <c r="C883" s="18" t="s">
        <v>16</v>
      </c>
      <c r="D883" s="19" t="s">
        <v>93</v>
      </c>
      <c r="E883" s="20" t="s">
        <v>17</v>
      </c>
      <c r="F883" s="21" t="s">
        <v>113</v>
      </c>
      <c r="G883" s="22" t="s">
        <v>20</v>
      </c>
      <c r="H883" s="23" t="s">
        <v>37</v>
      </c>
    </row>
    <row r="884" spans="2:8" s="1" customFormat="1" x14ac:dyDescent="0.15">
      <c r="B884" s="13" t="s">
        <v>1</v>
      </c>
      <c r="C884" s="14" t="s">
        <v>0</v>
      </c>
      <c r="D884" s="29" t="s">
        <v>323</v>
      </c>
      <c r="E884" s="30"/>
      <c r="F884" s="31"/>
      <c r="G884" s="15" t="s">
        <v>57</v>
      </c>
      <c r="H884" s="16" t="s">
        <v>44</v>
      </c>
    </row>
    <row r="885" spans="2:8" s="1" customFormat="1" x14ac:dyDescent="0.15">
      <c r="B885" s="32">
        <v>100178</v>
      </c>
      <c r="C885" s="2" t="s">
        <v>2</v>
      </c>
      <c r="D885" s="9">
        <f>ROUND(C12*800,0)</f>
        <v>5136</v>
      </c>
      <c r="E885" s="3" t="s">
        <v>3</v>
      </c>
      <c r="F885" s="11">
        <f>ROUND(C12*1700,0)</f>
        <v>10914</v>
      </c>
      <c r="G885" s="4" t="s">
        <v>8</v>
      </c>
      <c r="H885" s="17" t="s">
        <v>26</v>
      </c>
    </row>
    <row r="886" spans="2:8" s="1" customFormat="1" ht="13.5" customHeight="1" x14ac:dyDescent="0.15">
      <c r="B886" s="33"/>
      <c r="C886" s="5" t="s">
        <v>4</v>
      </c>
      <c r="D886" s="9">
        <f>ROUND(C12*800,0)</f>
        <v>5136</v>
      </c>
      <c r="E886" s="6" t="s">
        <v>5</v>
      </c>
      <c r="F886" s="11">
        <f>ROUND(C12*1700,0)</f>
        <v>10914</v>
      </c>
      <c r="G886" s="35">
        <v>100</v>
      </c>
      <c r="H886" s="17"/>
    </row>
    <row r="887" spans="2:8" s="1" customFormat="1" ht="13.5" customHeight="1" x14ac:dyDescent="0.15">
      <c r="B887" s="33"/>
      <c r="C887" s="7" t="s">
        <v>6</v>
      </c>
      <c r="D887" s="10">
        <v>3</v>
      </c>
      <c r="E887" s="8" t="s">
        <v>7</v>
      </c>
      <c r="F887" s="12">
        <f>ROUND(C12*400,0)</f>
        <v>2568</v>
      </c>
      <c r="G887" s="36"/>
      <c r="H887" s="17"/>
    </row>
    <row r="888" spans="2:8" s="1" customFormat="1" ht="14.25" thickBot="1" x14ac:dyDescent="0.2">
      <c r="B888" s="34"/>
      <c r="C888" s="18" t="s">
        <v>16</v>
      </c>
      <c r="D888" s="19" t="s">
        <v>293</v>
      </c>
      <c r="E888" s="20" t="s">
        <v>17</v>
      </c>
      <c r="F888" s="21" t="s">
        <v>399</v>
      </c>
      <c r="G888" s="22" t="s">
        <v>20</v>
      </c>
      <c r="H888" s="23" t="s">
        <v>37</v>
      </c>
    </row>
    <row r="889" spans="2:8" s="1" customFormat="1" x14ac:dyDescent="0.15">
      <c r="B889" s="13" t="s">
        <v>1</v>
      </c>
      <c r="C889" s="14" t="s">
        <v>0</v>
      </c>
      <c r="D889" s="29" t="s">
        <v>324</v>
      </c>
      <c r="E889" s="30"/>
      <c r="F889" s="31"/>
      <c r="G889" s="15" t="s">
        <v>57</v>
      </c>
      <c r="H889" s="16" t="s">
        <v>50</v>
      </c>
    </row>
    <row r="890" spans="2:8" s="1" customFormat="1" x14ac:dyDescent="0.15">
      <c r="B890" s="32">
        <v>100179</v>
      </c>
      <c r="C890" s="2" t="s">
        <v>2</v>
      </c>
      <c r="D890" s="9">
        <f>ROUND(C12*800,0)</f>
        <v>5136</v>
      </c>
      <c r="E890" s="3" t="s">
        <v>3</v>
      </c>
      <c r="F890" s="11">
        <f>ROUND(C12*1700,0)</f>
        <v>10914</v>
      </c>
      <c r="G890" s="4" t="s">
        <v>8</v>
      </c>
      <c r="H890" s="17" t="s">
        <v>29</v>
      </c>
    </row>
    <row r="891" spans="2:8" s="1" customFormat="1" ht="13.5" customHeight="1" x14ac:dyDescent="0.15">
      <c r="B891" s="33"/>
      <c r="C891" s="5" t="s">
        <v>4</v>
      </c>
      <c r="D891" s="9">
        <f>ROUND(C12*800,0)</f>
        <v>5136</v>
      </c>
      <c r="E891" s="6" t="s">
        <v>5</v>
      </c>
      <c r="F891" s="11">
        <f>ROUND(C12*1700,0)</f>
        <v>10914</v>
      </c>
      <c r="G891" s="35">
        <v>100</v>
      </c>
      <c r="H891" s="17"/>
    </row>
    <row r="892" spans="2:8" s="1" customFormat="1" ht="13.5" customHeight="1" x14ac:dyDescent="0.15">
      <c r="B892" s="33"/>
      <c r="C892" s="7" t="s">
        <v>6</v>
      </c>
      <c r="D892" s="10">
        <v>3</v>
      </c>
      <c r="E892" s="8" t="s">
        <v>7</v>
      </c>
      <c r="F892" s="12">
        <f>ROUND(C12*400,0)</f>
        <v>2568</v>
      </c>
      <c r="G892" s="36"/>
      <c r="H892" s="17"/>
    </row>
    <row r="893" spans="2:8" s="1" customFormat="1" ht="14.25" thickBot="1" x14ac:dyDescent="0.2">
      <c r="B893" s="34"/>
      <c r="C893" s="18" t="s">
        <v>16</v>
      </c>
      <c r="D893" s="19" t="s">
        <v>258</v>
      </c>
      <c r="E893" s="20" t="s">
        <v>17</v>
      </c>
      <c r="F893" s="21" t="s">
        <v>56</v>
      </c>
      <c r="G893" s="22" t="s">
        <v>20</v>
      </c>
      <c r="H893" s="23" t="s">
        <v>37</v>
      </c>
    </row>
    <row r="894" spans="2:8" s="1" customFormat="1" x14ac:dyDescent="0.15">
      <c r="B894" s="13" t="s">
        <v>1</v>
      </c>
      <c r="C894" s="14" t="s">
        <v>0</v>
      </c>
      <c r="D894" s="29" t="s">
        <v>325</v>
      </c>
      <c r="E894" s="30"/>
      <c r="F894" s="31"/>
      <c r="G894" s="15" t="s">
        <v>57</v>
      </c>
      <c r="H894" s="16" t="s">
        <v>326</v>
      </c>
    </row>
    <row r="895" spans="2:8" s="1" customFormat="1" x14ac:dyDescent="0.15">
      <c r="B895" s="32">
        <v>100180</v>
      </c>
      <c r="C895" s="2" t="s">
        <v>2</v>
      </c>
      <c r="D895" s="9">
        <f>ROUND(C12*815,0)</f>
        <v>5232</v>
      </c>
      <c r="E895" s="3" t="s">
        <v>3</v>
      </c>
      <c r="F895" s="11">
        <f>ROUND(C12*830,0)</f>
        <v>5329</v>
      </c>
      <c r="G895" s="4" t="s">
        <v>8</v>
      </c>
      <c r="H895" s="17" t="s">
        <v>160</v>
      </c>
    </row>
    <row r="896" spans="2:8" s="1" customFormat="1" ht="13.5" customHeight="1" x14ac:dyDescent="0.15">
      <c r="B896" s="33"/>
      <c r="C896" s="5" t="s">
        <v>4</v>
      </c>
      <c r="D896" s="9">
        <f>ROUND(C12*815,0)</f>
        <v>5232</v>
      </c>
      <c r="E896" s="6" t="s">
        <v>5</v>
      </c>
      <c r="F896" s="11">
        <f>ROUND(C12*830,0)</f>
        <v>5329</v>
      </c>
      <c r="G896" s="35">
        <v>50</v>
      </c>
      <c r="H896" s="17"/>
    </row>
    <row r="897" spans="2:8" s="1" customFormat="1" ht="13.5" customHeight="1" x14ac:dyDescent="0.15">
      <c r="B897" s="33"/>
      <c r="C897" s="7" t="s">
        <v>6</v>
      </c>
      <c r="D897" s="10">
        <v>5</v>
      </c>
      <c r="E897" s="8" t="s">
        <v>7</v>
      </c>
      <c r="F897" s="12">
        <f>ROUND(C12*530,0)</f>
        <v>3403</v>
      </c>
      <c r="G897" s="36"/>
      <c r="H897" s="17"/>
    </row>
    <row r="898" spans="2:8" s="1" customFormat="1" ht="14.25" thickBot="1" x14ac:dyDescent="0.2">
      <c r="B898" s="34"/>
      <c r="C898" s="18" t="s">
        <v>16</v>
      </c>
      <c r="D898" s="19" t="s">
        <v>45</v>
      </c>
      <c r="E898" s="20" t="s">
        <v>17</v>
      </c>
      <c r="F898" s="21" t="s">
        <v>405</v>
      </c>
      <c r="G898" s="22" t="s">
        <v>20</v>
      </c>
      <c r="H898" s="23" t="s">
        <v>37</v>
      </c>
    </row>
    <row r="899" spans="2:8" s="1" customFormat="1" x14ac:dyDescent="0.15">
      <c r="B899" s="13" t="s">
        <v>1</v>
      </c>
      <c r="C899" s="14" t="s">
        <v>0</v>
      </c>
      <c r="D899" s="29" t="s">
        <v>327</v>
      </c>
      <c r="E899" s="30"/>
      <c r="F899" s="31"/>
      <c r="G899" s="15" t="s">
        <v>57</v>
      </c>
      <c r="H899" s="16" t="s">
        <v>77</v>
      </c>
    </row>
    <row r="900" spans="2:8" s="1" customFormat="1" x14ac:dyDescent="0.15">
      <c r="B900" s="32">
        <v>100181</v>
      </c>
      <c r="C900" s="2" t="s">
        <v>2</v>
      </c>
      <c r="D900" s="9">
        <f>ROUND(C12*800,0)</f>
        <v>5136</v>
      </c>
      <c r="E900" s="3" t="s">
        <v>3</v>
      </c>
      <c r="F900" s="11">
        <f>ROUND(C12*1700,0)</f>
        <v>10914</v>
      </c>
      <c r="G900" s="4" t="s">
        <v>8</v>
      </c>
      <c r="H900" s="17" t="s">
        <v>78</v>
      </c>
    </row>
    <row r="901" spans="2:8" s="1" customFormat="1" ht="13.5" customHeight="1" x14ac:dyDescent="0.15">
      <c r="B901" s="33"/>
      <c r="C901" s="5" t="s">
        <v>4</v>
      </c>
      <c r="D901" s="9">
        <f>ROUND(C12*800,0)</f>
        <v>5136</v>
      </c>
      <c r="E901" s="6" t="s">
        <v>5</v>
      </c>
      <c r="F901" s="11">
        <f>ROUND(C12*1700,0)</f>
        <v>10914</v>
      </c>
      <c r="G901" s="35">
        <v>100</v>
      </c>
      <c r="H901" s="17"/>
    </row>
    <row r="902" spans="2:8" s="1" customFormat="1" ht="13.5" customHeight="1" x14ac:dyDescent="0.15">
      <c r="B902" s="33"/>
      <c r="C902" s="7" t="s">
        <v>6</v>
      </c>
      <c r="D902" s="10">
        <v>3</v>
      </c>
      <c r="E902" s="8" t="s">
        <v>7</v>
      </c>
      <c r="F902" s="12">
        <f>ROUND(C12*400,0)</f>
        <v>2568</v>
      </c>
      <c r="G902" s="36"/>
      <c r="H902" s="17"/>
    </row>
    <row r="903" spans="2:8" s="1" customFormat="1" ht="14.25" thickBot="1" x14ac:dyDescent="0.2">
      <c r="B903" s="34"/>
      <c r="C903" s="18" t="s">
        <v>16</v>
      </c>
      <c r="D903" s="19" t="s">
        <v>85</v>
      </c>
      <c r="E903" s="20" t="s">
        <v>17</v>
      </c>
      <c r="F903" s="21" t="s">
        <v>49</v>
      </c>
      <c r="G903" s="22" t="s">
        <v>20</v>
      </c>
      <c r="H903" s="23" t="s">
        <v>37</v>
      </c>
    </row>
    <row r="904" spans="2:8" s="1" customFormat="1" x14ac:dyDescent="0.15">
      <c r="B904" s="13" t="s">
        <v>1</v>
      </c>
      <c r="C904" s="14" t="s">
        <v>0</v>
      </c>
      <c r="D904" s="29" t="s">
        <v>328</v>
      </c>
      <c r="E904" s="30"/>
      <c r="F904" s="31"/>
      <c r="G904" s="15" t="s">
        <v>57</v>
      </c>
      <c r="H904" s="16" t="s">
        <v>80</v>
      </c>
    </row>
    <row r="905" spans="2:8" s="1" customFormat="1" x14ac:dyDescent="0.15">
      <c r="B905" s="32">
        <v>100182</v>
      </c>
      <c r="C905" s="2" t="s">
        <v>2</v>
      </c>
      <c r="D905" s="9">
        <f>ROUND(C12*815,0)</f>
        <v>5232</v>
      </c>
      <c r="E905" s="3" t="s">
        <v>3</v>
      </c>
      <c r="F905" s="11">
        <f>ROUND(C12*830,0)</f>
        <v>5329</v>
      </c>
      <c r="G905" s="4" t="s">
        <v>8</v>
      </c>
      <c r="H905" s="17" t="s">
        <v>81</v>
      </c>
    </row>
    <row r="906" spans="2:8" s="1" customFormat="1" ht="13.5" customHeight="1" x14ac:dyDescent="0.15">
      <c r="B906" s="33"/>
      <c r="C906" s="5" t="s">
        <v>4</v>
      </c>
      <c r="D906" s="9">
        <f>ROUND(C12*815,0)</f>
        <v>5232</v>
      </c>
      <c r="E906" s="6" t="s">
        <v>5</v>
      </c>
      <c r="F906" s="11">
        <f>ROUND(C12*830,0)</f>
        <v>5329</v>
      </c>
      <c r="G906" s="35">
        <v>100</v>
      </c>
      <c r="H906" s="17"/>
    </row>
    <row r="907" spans="2:8" s="1" customFormat="1" ht="13.5" customHeight="1" x14ac:dyDescent="0.15">
      <c r="B907" s="33"/>
      <c r="C907" s="7" t="s">
        <v>6</v>
      </c>
      <c r="D907" s="10">
        <v>5</v>
      </c>
      <c r="E907" s="8" t="s">
        <v>7</v>
      </c>
      <c r="F907" s="12">
        <f>ROUND(C12*450,0)</f>
        <v>2889</v>
      </c>
      <c r="G907" s="36"/>
      <c r="H907" s="17"/>
    </row>
    <row r="908" spans="2:8" s="1" customFormat="1" ht="14.25" thickBot="1" x14ac:dyDescent="0.2">
      <c r="B908" s="34"/>
      <c r="C908" s="18" t="s">
        <v>16</v>
      </c>
      <c r="D908" s="19" t="s">
        <v>93</v>
      </c>
      <c r="E908" s="20" t="s">
        <v>17</v>
      </c>
      <c r="F908" s="21" t="s">
        <v>113</v>
      </c>
      <c r="G908" s="22" t="s">
        <v>20</v>
      </c>
      <c r="H908" s="23" t="s">
        <v>37</v>
      </c>
    </row>
    <row r="909" spans="2:8" s="1" customFormat="1" x14ac:dyDescent="0.15">
      <c r="B909" s="13" t="s">
        <v>1</v>
      </c>
      <c r="C909" s="14" t="s">
        <v>0</v>
      </c>
      <c r="D909" s="29" t="s">
        <v>329</v>
      </c>
      <c r="E909" s="30"/>
      <c r="F909" s="31"/>
      <c r="G909" s="15" t="s">
        <v>57</v>
      </c>
      <c r="H909" s="16" t="s">
        <v>116</v>
      </c>
    </row>
    <row r="910" spans="2:8" s="1" customFormat="1" x14ac:dyDescent="0.15">
      <c r="B910" s="32">
        <v>100183</v>
      </c>
      <c r="C910" s="2" t="s">
        <v>2</v>
      </c>
      <c r="D910" s="9">
        <f>ROUND(C12*815,0)</f>
        <v>5232</v>
      </c>
      <c r="E910" s="3" t="s">
        <v>3</v>
      </c>
      <c r="F910" s="11">
        <f>ROUND(C12*830,0)</f>
        <v>5329</v>
      </c>
      <c r="G910" s="4" t="s">
        <v>8</v>
      </c>
      <c r="H910" s="17" t="s">
        <v>117</v>
      </c>
    </row>
    <row r="911" spans="2:8" s="1" customFormat="1" ht="13.5" customHeight="1" x14ac:dyDescent="0.15">
      <c r="B911" s="33"/>
      <c r="C911" s="5" t="s">
        <v>4</v>
      </c>
      <c r="D911" s="9">
        <f>ROUND(C12*815,0)</f>
        <v>5232</v>
      </c>
      <c r="E911" s="6" t="s">
        <v>5</v>
      </c>
      <c r="F911" s="11">
        <f>ROUND(C12*830,0)</f>
        <v>5329</v>
      </c>
      <c r="G911" s="35">
        <v>100</v>
      </c>
      <c r="H911" s="17"/>
    </row>
    <row r="912" spans="2:8" s="1" customFormat="1" ht="13.5" customHeight="1" x14ac:dyDescent="0.15">
      <c r="B912" s="33"/>
      <c r="C912" s="7" t="s">
        <v>6</v>
      </c>
      <c r="D912" s="10">
        <v>5</v>
      </c>
      <c r="E912" s="8" t="s">
        <v>7</v>
      </c>
      <c r="F912" s="12">
        <f>ROUND(C12*480,0)</f>
        <v>3082</v>
      </c>
      <c r="G912" s="36"/>
      <c r="H912" s="17"/>
    </row>
    <row r="913" spans="2:8" s="1" customFormat="1" ht="14.25" thickBot="1" x14ac:dyDescent="0.2">
      <c r="B913" s="34"/>
      <c r="C913" s="18" t="s">
        <v>16</v>
      </c>
      <c r="D913" s="19" t="s">
        <v>293</v>
      </c>
      <c r="E913" s="20" t="s">
        <v>17</v>
      </c>
      <c r="F913" s="21" t="s">
        <v>428</v>
      </c>
      <c r="G913" s="22" t="s">
        <v>20</v>
      </c>
      <c r="H913" s="23" t="s">
        <v>37</v>
      </c>
    </row>
    <row r="914" spans="2:8" s="1" customFormat="1" x14ac:dyDescent="0.15">
      <c r="B914" s="13" t="s">
        <v>1</v>
      </c>
      <c r="C914" s="14" t="s">
        <v>0</v>
      </c>
      <c r="D914" s="29" t="s">
        <v>330</v>
      </c>
      <c r="E914" s="30"/>
      <c r="F914" s="31"/>
      <c r="G914" s="15" t="s">
        <v>57</v>
      </c>
      <c r="H914" s="16" t="s">
        <v>50</v>
      </c>
    </row>
    <row r="915" spans="2:8" s="1" customFormat="1" x14ac:dyDescent="0.15">
      <c r="B915" s="32">
        <v>100184</v>
      </c>
      <c r="C915" s="2" t="s">
        <v>2</v>
      </c>
      <c r="D915" s="9">
        <f>ROUND(C12*800,0)</f>
        <v>5136</v>
      </c>
      <c r="E915" s="3" t="s">
        <v>3</v>
      </c>
      <c r="F915" s="11">
        <f>ROUND(C12*1700,0)</f>
        <v>10914</v>
      </c>
      <c r="G915" s="4" t="s">
        <v>8</v>
      </c>
      <c r="H915" s="17" t="s">
        <v>29</v>
      </c>
    </row>
    <row r="916" spans="2:8" s="1" customFormat="1" ht="13.5" customHeight="1" x14ac:dyDescent="0.15">
      <c r="B916" s="33"/>
      <c r="C916" s="5" t="s">
        <v>4</v>
      </c>
      <c r="D916" s="9">
        <f>ROUND(C12*800,0)</f>
        <v>5136</v>
      </c>
      <c r="E916" s="6" t="s">
        <v>5</v>
      </c>
      <c r="F916" s="11">
        <f>ROUND(C12*1700,0)</f>
        <v>10914</v>
      </c>
      <c r="G916" s="35">
        <v>100</v>
      </c>
      <c r="H916" s="17"/>
    </row>
    <row r="917" spans="2:8" s="1" customFormat="1" ht="13.5" customHeight="1" x14ac:dyDescent="0.15">
      <c r="B917" s="33"/>
      <c r="C917" s="7" t="s">
        <v>6</v>
      </c>
      <c r="D917" s="10">
        <v>3</v>
      </c>
      <c r="E917" s="8" t="s">
        <v>7</v>
      </c>
      <c r="F917" s="12">
        <f>ROUND(C12*400,0)</f>
        <v>2568</v>
      </c>
      <c r="G917" s="36"/>
      <c r="H917" s="17"/>
    </row>
    <row r="918" spans="2:8" s="1" customFormat="1" ht="14.25" thickBot="1" x14ac:dyDescent="0.2">
      <c r="B918" s="34"/>
      <c r="C918" s="18" t="s">
        <v>16</v>
      </c>
      <c r="D918" s="19" t="s">
        <v>396</v>
      </c>
      <c r="E918" s="20" t="s">
        <v>17</v>
      </c>
      <c r="F918" s="21" t="s">
        <v>56</v>
      </c>
      <c r="G918" s="22" t="s">
        <v>20</v>
      </c>
      <c r="H918" s="23" t="s">
        <v>37</v>
      </c>
    </row>
    <row r="919" spans="2:8" s="1" customFormat="1" x14ac:dyDescent="0.15">
      <c r="B919" s="13" t="s">
        <v>1</v>
      </c>
      <c r="C919" s="14" t="s">
        <v>0</v>
      </c>
      <c r="D919" s="29" t="s">
        <v>331</v>
      </c>
      <c r="E919" s="30"/>
      <c r="F919" s="31"/>
      <c r="G919" s="15" t="s">
        <v>57</v>
      </c>
      <c r="H919" s="16" t="s">
        <v>35</v>
      </c>
    </row>
    <row r="920" spans="2:8" s="1" customFormat="1" x14ac:dyDescent="0.15">
      <c r="B920" s="32">
        <v>100185</v>
      </c>
      <c r="C920" s="2" t="s">
        <v>2</v>
      </c>
      <c r="D920" s="9">
        <f>ROUND(C12*815,0)</f>
        <v>5232</v>
      </c>
      <c r="E920" s="3" t="s">
        <v>3</v>
      </c>
      <c r="F920" s="11">
        <f>ROUND(C12*830,0)</f>
        <v>5329</v>
      </c>
      <c r="G920" s="4" t="s">
        <v>8</v>
      </c>
      <c r="H920" s="17" t="s">
        <v>23</v>
      </c>
    </row>
    <row r="921" spans="2:8" s="1" customFormat="1" ht="13.5" customHeight="1" x14ac:dyDescent="0.15">
      <c r="B921" s="33"/>
      <c r="C921" s="5" t="s">
        <v>4</v>
      </c>
      <c r="D921" s="9">
        <f>ROUND(C12*815,0)</f>
        <v>5232</v>
      </c>
      <c r="E921" s="6" t="s">
        <v>5</v>
      </c>
      <c r="F921" s="11">
        <f>ROUND(C12*830,0)</f>
        <v>5329</v>
      </c>
      <c r="G921" s="35">
        <v>100</v>
      </c>
      <c r="H921" s="17"/>
    </row>
    <row r="922" spans="2:8" s="1" customFormat="1" ht="13.5" customHeight="1" x14ac:dyDescent="0.15">
      <c r="B922" s="33"/>
      <c r="C922" s="7" t="s">
        <v>6</v>
      </c>
      <c r="D922" s="10">
        <v>5</v>
      </c>
      <c r="E922" s="8" t="s">
        <v>7</v>
      </c>
      <c r="F922" s="12">
        <f>ROUND(C12*450,0)</f>
        <v>2889</v>
      </c>
      <c r="G922" s="36"/>
      <c r="H922" s="17"/>
    </row>
    <row r="923" spans="2:8" s="1" customFormat="1" ht="14.25" thickBot="1" x14ac:dyDescent="0.2">
      <c r="B923" s="34"/>
      <c r="C923" s="18" t="s">
        <v>16</v>
      </c>
      <c r="D923" s="19" t="s">
        <v>405</v>
      </c>
      <c r="E923" s="20" t="s">
        <v>17</v>
      </c>
      <c r="F923" s="21" t="s">
        <v>36</v>
      </c>
      <c r="G923" s="22" t="s">
        <v>20</v>
      </c>
      <c r="H923" s="23" t="s">
        <v>37</v>
      </c>
    </row>
    <row r="924" spans="2:8" s="1" customFormat="1" x14ac:dyDescent="0.15">
      <c r="B924" s="13" t="s">
        <v>1</v>
      </c>
      <c r="C924" s="14" t="s">
        <v>0</v>
      </c>
      <c r="D924" s="29" t="s">
        <v>332</v>
      </c>
      <c r="E924" s="30"/>
      <c r="F924" s="31"/>
      <c r="G924" s="15" t="s">
        <v>57</v>
      </c>
      <c r="H924" s="16" t="s">
        <v>41</v>
      </c>
    </row>
    <row r="925" spans="2:8" s="1" customFormat="1" x14ac:dyDescent="0.15">
      <c r="B925" s="32">
        <v>100186</v>
      </c>
      <c r="C925" s="2" t="s">
        <v>2</v>
      </c>
      <c r="D925" s="9">
        <f>ROUND(C12*800,0)</f>
        <v>5136</v>
      </c>
      <c r="E925" s="3" t="s">
        <v>3</v>
      </c>
      <c r="F925" s="11">
        <f>ROUND(C12*1700,0)</f>
        <v>10914</v>
      </c>
      <c r="G925" s="4" t="s">
        <v>8</v>
      </c>
      <c r="H925" s="17" t="s">
        <v>25</v>
      </c>
    </row>
    <row r="926" spans="2:8" s="1" customFormat="1" ht="13.5" customHeight="1" x14ac:dyDescent="0.15">
      <c r="B926" s="33"/>
      <c r="C926" s="5" t="s">
        <v>4</v>
      </c>
      <c r="D926" s="9">
        <f>ROUND(C12*800,0)</f>
        <v>5136</v>
      </c>
      <c r="E926" s="6" t="s">
        <v>5</v>
      </c>
      <c r="F926" s="11">
        <f>ROUND(C12*1700,0)</f>
        <v>10914</v>
      </c>
      <c r="G926" s="35">
        <v>100</v>
      </c>
      <c r="H926" s="17"/>
    </row>
    <row r="927" spans="2:8" s="1" customFormat="1" ht="13.5" customHeight="1" x14ac:dyDescent="0.15">
      <c r="B927" s="33"/>
      <c r="C927" s="7" t="s">
        <v>6</v>
      </c>
      <c r="D927" s="10">
        <v>3</v>
      </c>
      <c r="E927" s="8" t="s">
        <v>7</v>
      </c>
      <c r="F927" s="12">
        <f>ROUND(C12*520,0)</f>
        <v>3338</v>
      </c>
      <c r="G927" s="36"/>
      <c r="H927" s="17"/>
    </row>
    <row r="928" spans="2:8" s="1" customFormat="1" ht="14.25" thickBot="1" x14ac:dyDescent="0.2">
      <c r="B928" s="34"/>
      <c r="C928" s="18" t="s">
        <v>16</v>
      </c>
      <c r="D928" s="19" t="s">
        <v>113</v>
      </c>
      <c r="E928" s="20" t="s">
        <v>17</v>
      </c>
      <c r="F928" s="21" t="s">
        <v>93</v>
      </c>
      <c r="G928" s="22" t="s">
        <v>20</v>
      </c>
      <c r="H928" s="23" t="s">
        <v>37</v>
      </c>
    </row>
    <row r="929" spans="2:8" s="1" customFormat="1" x14ac:dyDescent="0.15">
      <c r="B929" s="13" t="s">
        <v>1</v>
      </c>
      <c r="C929" s="14" t="s">
        <v>0</v>
      </c>
      <c r="D929" s="29" t="s">
        <v>333</v>
      </c>
      <c r="E929" s="30"/>
      <c r="F929" s="31"/>
      <c r="G929" s="15" t="s">
        <v>57</v>
      </c>
      <c r="H929" s="16" t="s">
        <v>334</v>
      </c>
    </row>
    <row r="930" spans="2:8" s="1" customFormat="1" x14ac:dyDescent="0.15">
      <c r="B930" s="32">
        <v>100187</v>
      </c>
      <c r="C930" s="2" t="s">
        <v>2</v>
      </c>
      <c r="D930" s="9">
        <f>ROUND(C12*815,0)</f>
        <v>5232</v>
      </c>
      <c r="E930" s="3" t="s">
        <v>3</v>
      </c>
      <c r="F930" s="11">
        <f>ROUND(C12*830,0)</f>
        <v>5329</v>
      </c>
      <c r="G930" s="4" t="s">
        <v>8</v>
      </c>
      <c r="H930" s="17" t="s">
        <v>96</v>
      </c>
    </row>
    <row r="931" spans="2:8" s="1" customFormat="1" ht="13.5" customHeight="1" x14ac:dyDescent="0.15">
      <c r="B931" s="33"/>
      <c r="C931" s="5" t="s">
        <v>4</v>
      </c>
      <c r="D931" s="9">
        <f>ROUND(C12*815,0)</f>
        <v>5232</v>
      </c>
      <c r="E931" s="6" t="s">
        <v>5</v>
      </c>
      <c r="F931" s="11">
        <f>ROUND(C12*830,0)</f>
        <v>5329</v>
      </c>
      <c r="G931" s="35">
        <v>50</v>
      </c>
      <c r="H931" s="17"/>
    </row>
    <row r="932" spans="2:8" s="1" customFormat="1" ht="13.5" customHeight="1" x14ac:dyDescent="0.15">
      <c r="B932" s="33"/>
      <c r="C932" s="7" t="s">
        <v>6</v>
      </c>
      <c r="D932" s="10">
        <v>5</v>
      </c>
      <c r="E932" s="8" t="s">
        <v>7</v>
      </c>
      <c r="F932" s="12">
        <f>ROUND(C12*400,0)</f>
        <v>2568</v>
      </c>
      <c r="G932" s="36"/>
      <c r="H932" s="17"/>
    </row>
    <row r="933" spans="2:8" s="1" customFormat="1" ht="14.25" thickBot="1" x14ac:dyDescent="0.2">
      <c r="B933" s="34"/>
      <c r="C933" s="18" t="s">
        <v>16</v>
      </c>
      <c r="D933" s="19" t="s">
        <v>258</v>
      </c>
      <c r="E933" s="20" t="s">
        <v>17</v>
      </c>
      <c r="F933" s="21" t="s">
        <v>85</v>
      </c>
      <c r="G933" s="22" t="s">
        <v>20</v>
      </c>
      <c r="H933" s="23" t="s">
        <v>121</v>
      </c>
    </row>
    <row r="934" spans="2:8" s="1" customFormat="1" x14ac:dyDescent="0.15">
      <c r="B934" s="13" t="s">
        <v>1</v>
      </c>
      <c r="C934" s="14" t="s">
        <v>0</v>
      </c>
      <c r="D934" s="29" t="s">
        <v>335</v>
      </c>
      <c r="E934" s="30"/>
      <c r="F934" s="31"/>
      <c r="G934" s="15" t="s">
        <v>57</v>
      </c>
      <c r="H934" s="16" t="s">
        <v>35</v>
      </c>
    </row>
    <row r="935" spans="2:8" s="1" customFormat="1" x14ac:dyDescent="0.15">
      <c r="B935" s="32">
        <v>100188</v>
      </c>
      <c r="C935" s="2" t="s">
        <v>2</v>
      </c>
      <c r="D935" s="9">
        <f>ROUND(C12*800,0)</f>
        <v>5136</v>
      </c>
      <c r="E935" s="3" t="s">
        <v>3</v>
      </c>
      <c r="F935" s="11">
        <f>ROUND(C12*1700,0)</f>
        <v>10914</v>
      </c>
      <c r="G935" s="4" t="s">
        <v>8</v>
      </c>
      <c r="H935" s="17" t="s">
        <v>23</v>
      </c>
    </row>
    <row r="936" spans="2:8" s="1" customFormat="1" ht="13.5" customHeight="1" x14ac:dyDescent="0.15">
      <c r="B936" s="33"/>
      <c r="C936" s="5" t="s">
        <v>4</v>
      </c>
      <c r="D936" s="9">
        <f>ROUND(C12*800,0)</f>
        <v>5136</v>
      </c>
      <c r="E936" s="6" t="s">
        <v>5</v>
      </c>
      <c r="F936" s="11">
        <f>ROUND(C12*1700,0)</f>
        <v>10914</v>
      </c>
      <c r="G936" s="35">
        <v>100</v>
      </c>
      <c r="H936" s="17"/>
    </row>
    <row r="937" spans="2:8" s="1" customFormat="1" ht="13.5" customHeight="1" x14ac:dyDescent="0.15">
      <c r="B937" s="33"/>
      <c r="C937" s="7" t="s">
        <v>6</v>
      </c>
      <c r="D937" s="10">
        <v>3</v>
      </c>
      <c r="E937" s="8" t="s">
        <v>7</v>
      </c>
      <c r="F937" s="12">
        <f>ROUND(C12*470,0)</f>
        <v>3017</v>
      </c>
      <c r="G937" s="36"/>
      <c r="H937" s="17"/>
    </row>
    <row r="938" spans="2:8" s="1" customFormat="1" ht="14.25" thickBot="1" x14ac:dyDescent="0.2">
      <c r="B938" s="34"/>
      <c r="C938" s="18" t="s">
        <v>16</v>
      </c>
      <c r="D938" s="19" t="s">
        <v>257</v>
      </c>
      <c r="E938" s="20" t="s">
        <v>17</v>
      </c>
      <c r="F938" s="21" t="s">
        <v>218</v>
      </c>
      <c r="G938" s="22" t="s">
        <v>20</v>
      </c>
      <c r="H938" s="23" t="s">
        <v>37</v>
      </c>
    </row>
    <row r="939" spans="2:8" s="1" customFormat="1" x14ac:dyDescent="0.15">
      <c r="B939" s="13" t="s">
        <v>1</v>
      </c>
      <c r="C939" s="14" t="s">
        <v>0</v>
      </c>
      <c r="D939" s="29" t="s">
        <v>336</v>
      </c>
      <c r="E939" s="30"/>
      <c r="F939" s="31"/>
      <c r="G939" s="15" t="s">
        <v>57</v>
      </c>
      <c r="H939" s="16" t="s">
        <v>337</v>
      </c>
    </row>
    <row r="940" spans="2:8" s="1" customFormat="1" x14ac:dyDescent="0.15">
      <c r="B940" s="32">
        <v>100189</v>
      </c>
      <c r="C940" s="2" t="s">
        <v>2</v>
      </c>
      <c r="D940" s="9">
        <f>ROUND(C12*815,0)</f>
        <v>5232</v>
      </c>
      <c r="E940" s="3" t="s">
        <v>3</v>
      </c>
      <c r="F940" s="11">
        <f>ROUND(C12*830,0)</f>
        <v>5329</v>
      </c>
      <c r="G940" s="4" t="s">
        <v>8</v>
      </c>
      <c r="H940" s="17" t="s">
        <v>140</v>
      </c>
    </row>
    <row r="941" spans="2:8" s="1" customFormat="1" ht="13.5" customHeight="1" x14ac:dyDescent="0.15">
      <c r="B941" s="33"/>
      <c r="C941" s="5" t="s">
        <v>4</v>
      </c>
      <c r="D941" s="9">
        <f>ROUND(C12*815,0)</f>
        <v>5232</v>
      </c>
      <c r="E941" s="6" t="s">
        <v>5</v>
      </c>
      <c r="F941" s="11">
        <f>ROUND(C12*830,0)</f>
        <v>5329</v>
      </c>
      <c r="G941" s="35">
        <v>50</v>
      </c>
      <c r="H941" s="17"/>
    </row>
    <row r="942" spans="2:8" s="1" customFormat="1" ht="13.5" customHeight="1" x14ac:dyDescent="0.15">
      <c r="B942" s="33"/>
      <c r="C942" s="7" t="s">
        <v>6</v>
      </c>
      <c r="D942" s="10">
        <v>5</v>
      </c>
      <c r="E942" s="8" t="s">
        <v>7</v>
      </c>
      <c r="F942" s="12">
        <f>ROUND(C12*430,0)</f>
        <v>2761</v>
      </c>
      <c r="G942" s="36"/>
      <c r="H942" s="17"/>
    </row>
    <row r="943" spans="2:8" s="1" customFormat="1" ht="14.25" thickBot="1" x14ac:dyDescent="0.2">
      <c r="B943" s="34"/>
      <c r="C943" s="18" t="s">
        <v>16</v>
      </c>
      <c r="D943" s="19" t="s">
        <v>294</v>
      </c>
      <c r="E943" s="20" t="s">
        <v>17</v>
      </c>
      <c r="F943" s="21" t="s">
        <v>113</v>
      </c>
      <c r="G943" s="22" t="s">
        <v>20</v>
      </c>
      <c r="H943" s="23" t="s">
        <v>278</v>
      </c>
    </row>
    <row r="944" spans="2:8" s="1" customFormat="1" x14ac:dyDescent="0.15">
      <c r="B944" s="13" t="s">
        <v>1</v>
      </c>
      <c r="C944" s="14" t="s">
        <v>0</v>
      </c>
      <c r="D944" s="29" t="s">
        <v>338</v>
      </c>
      <c r="E944" s="30"/>
      <c r="F944" s="31"/>
      <c r="G944" s="15" t="s">
        <v>57</v>
      </c>
      <c r="H944" s="16" t="s">
        <v>116</v>
      </c>
    </row>
    <row r="945" spans="2:8" s="1" customFormat="1" x14ac:dyDescent="0.15">
      <c r="B945" s="32">
        <v>100190</v>
      </c>
      <c r="C945" s="2" t="s">
        <v>2</v>
      </c>
      <c r="D945" s="9">
        <f>ROUND(C12*815,0)</f>
        <v>5232</v>
      </c>
      <c r="E945" s="3" t="s">
        <v>3</v>
      </c>
      <c r="F945" s="11">
        <f>ROUND(C12*830,0)</f>
        <v>5329</v>
      </c>
      <c r="G945" s="4" t="s">
        <v>8</v>
      </c>
      <c r="H945" s="17" t="s">
        <v>117</v>
      </c>
    </row>
    <row r="946" spans="2:8" s="1" customFormat="1" ht="13.5" customHeight="1" x14ac:dyDescent="0.15">
      <c r="B946" s="33"/>
      <c r="C946" s="5" t="s">
        <v>4</v>
      </c>
      <c r="D946" s="9">
        <f>ROUND(C12*815,0)</f>
        <v>5232</v>
      </c>
      <c r="E946" s="6" t="s">
        <v>5</v>
      </c>
      <c r="F946" s="11">
        <f>ROUND(C12*830,0)</f>
        <v>5329</v>
      </c>
      <c r="G946" s="35">
        <v>100</v>
      </c>
      <c r="H946" s="17"/>
    </row>
    <row r="947" spans="2:8" s="1" customFormat="1" ht="13.5" customHeight="1" x14ac:dyDescent="0.15">
      <c r="B947" s="33"/>
      <c r="C947" s="7" t="s">
        <v>6</v>
      </c>
      <c r="D947" s="10">
        <v>5</v>
      </c>
      <c r="E947" s="8" t="s">
        <v>7</v>
      </c>
      <c r="F947" s="12">
        <f>ROUND(C12*450,0)</f>
        <v>2889</v>
      </c>
      <c r="G947" s="36"/>
      <c r="H947" s="17"/>
    </row>
    <row r="948" spans="2:8" s="1" customFormat="1" ht="14.25" thickBot="1" x14ac:dyDescent="0.2">
      <c r="B948" s="34"/>
      <c r="C948" s="18" t="s">
        <v>16</v>
      </c>
      <c r="D948" s="19" t="s">
        <v>32</v>
      </c>
      <c r="E948" s="20" t="s">
        <v>17</v>
      </c>
      <c r="F948" s="21" t="s">
        <v>33</v>
      </c>
      <c r="G948" s="22" t="s">
        <v>20</v>
      </c>
      <c r="H948" s="23" t="s">
        <v>37</v>
      </c>
    </row>
    <row r="949" spans="2:8" s="1" customFormat="1" x14ac:dyDescent="0.15">
      <c r="B949" s="13" t="s">
        <v>1</v>
      </c>
      <c r="C949" s="14" t="s">
        <v>0</v>
      </c>
      <c r="D949" s="29" t="s">
        <v>339</v>
      </c>
      <c r="E949" s="30"/>
      <c r="F949" s="31"/>
      <c r="G949" s="15" t="s">
        <v>57</v>
      </c>
      <c r="H949" s="16" t="s">
        <v>131</v>
      </c>
    </row>
    <row r="950" spans="2:8" s="1" customFormat="1" x14ac:dyDescent="0.15">
      <c r="B950" s="32">
        <v>100191</v>
      </c>
      <c r="C950" s="2" t="s">
        <v>2</v>
      </c>
      <c r="D950" s="9">
        <f>ROUND(C12*800,0)</f>
        <v>5136</v>
      </c>
      <c r="E950" s="3" t="s">
        <v>3</v>
      </c>
      <c r="F950" s="11">
        <f>ROUND(C12*1700,0)</f>
        <v>10914</v>
      </c>
      <c r="G950" s="4" t="s">
        <v>8</v>
      </c>
      <c r="H950" s="17" t="s">
        <v>132</v>
      </c>
    </row>
    <row r="951" spans="2:8" s="1" customFormat="1" ht="13.5" customHeight="1" x14ac:dyDescent="0.15">
      <c r="B951" s="33"/>
      <c r="C951" s="5" t="s">
        <v>4</v>
      </c>
      <c r="D951" s="9">
        <f>ROUND(C12*800,0)</f>
        <v>5136</v>
      </c>
      <c r="E951" s="6" t="s">
        <v>5</v>
      </c>
      <c r="F951" s="11">
        <f>ROUND(C12*1700,0)</f>
        <v>10914</v>
      </c>
      <c r="G951" s="35">
        <v>100</v>
      </c>
      <c r="H951" s="17"/>
    </row>
    <row r="952" spans="2:8" s="1" customFormat="1" ht="13.5" customHeight="1" x14ac:dyDescent="0.15">
      <c r="B952" s="33"/>
      <c r="C952" s="7" t="s">
        <v>6</v>
      </c>
      <c r="D952" s="10">
        <v>3</v>
      </c>
      <c r="E952" s="8" t="s">
        <v>7</v>
      </c>
      <c r="F952" s="12">
        <f>ROUND(C12*410,0)</f>
        <v>2632</v>
      </c>
      <c r="G952" s="36"/>
      <c r="H952" s="17"/>
    </row>
    <row r="953" spans="2:8" s="1" customFormat="1" ht="14.25" thickBot="1" x14ac:dyDescent="0.2">
      <c r="B953" s="34"/>
      <c r="C953" s="18" t="s">
        <v>16</v>
      </c>
      <c r="D953" s="19" t="s">
        <v>32</v>
      </c>
      <c r="E953" s="20" t="s">
        <v>17</v>
      </c>
      <c r="F953" s="21" t="s">
        <v>293</v>
      </c>
      <c r="G953" s="22" t="s">
        <v>20</v>
      </c>
      <c r="H953" s="23" t="s">
        <v>37</v>
      </c>
    </row>
    <row r="954" spans="2:8" s="1" customFormat="1" x14ac:dyDescent="0.15">
      <c r="B954" s="13" t="s">
        <v>1</v>
      </c>
      <c r="C954" s="14" t="s">
        <v>0</v>
      </c>
      <c r="D954" s="29" t="s">
        <v>340</v>
      </c>
      <c r="E954" s="30"/>
      <c r="F954" s="31"/>
      <c r="G954" s="15" t="s">
        <v>57</v>
      </c>
      <c r="H954" s="16" t="s">
        <v>341</v>
      </c>
    </row>
    <row r="955" spans="2:8" s="1" customFormat="1" x14ac:dyDescent="0.15">
      <c r="B955" s="32">
        <v>100192</v>
      </c>
      <c r="C955" s="2" t="s">
        <v>2</v>
      </c>
      <c r="D955" s="9">
        <f>ROUND(C12*815,0)</f>
        <v>5232</v>
      </c>
      <c r="E955" s="3" t="s">
        <v>3</v>
      </c>
      <c r="F955" s="11">
        <f>ROUND(C12*830,0)</f>
        <v>5329</v>
      </c>
      <c r="G955" s="4" t="s">
        <v>8</v>
      </c>
      <c r="H955" s="17" t="s">
        <v>144</v>
      </c>
    </row>
    <row r="956" spans="2:8" s="1" customFormat="1" ht="13.5" customHeight="1" x14ac:dyDescent="0.15">
      <c r="B956" s="33"/>
      <c r="C956" s="5" t="s">
        <v>4</v>
      </c>
      <c r="D956" s="9">
        <f>ROUND(C12*815,0)</f>
        <v>5232</v>
      </c>
      <c r="E956" s="6" t="s">
        <v>5</v>
      </c>
      <c r="F956" s="11">
        <f>ROUND(C12*830,0)</f>
        <v>5329</v>
      </c>
      <c r="G956" s="35">
        <v>50</v>
      </c>
      <c r="H956" s="17"/>
    </row>
    <row r="957" spans="2:8" s="1" customFormat="1" ht="13.5" customHeight="1" x14ac:dyDescent="0.15">
      <c r="B957" s="33"/>
      <c r="C957" s="7" t="s">
        <v>6</v>
      </c>
      <c r="D957" s="10">
        <v>5</v>
      </c>
      <c r="E957" s="8" t="s">
        <v>7</v>
      </c>
      <c r="F957" s="12">
        <f>ROUND(C12*500,0)</f>
        <v>3210</v>
      </c>
      <c r="G957" s="36"/>
      <c r="H957" s="17"/>
    </row>
    <row r="958" spans="2:8" s="1" customFormat="1" ht="14.25" thickBot="1" x14ac:dyDescent="0.2">
      <c r="B958" s="34"/>
      <c r="C958" s="18" t="s">
        <v>16</v>
      </c>
      <c r="D958" s="19" t="s">
        <v>56</v>
      </c>
      <c r="E958" s="20" t="s">
        <v>17</v>
      </c>
      <c r="F958" s="21" t="s">
        <v>93</v>
      </c>
      <c r="G958" s="22" t="s">
        <v>20</v>
      </c>
      <c r="H958" s="23" t="s">
        <v>125</v>
      </c>
    </row>
    <row r="959" spans="2:8" s="1" customFormat="1" x14ac:dyDescent="0.15">
      <c r="B959" s="13" t="s">
        <v>1</v>
      </c>
      <c r="C959" s="14" t="s">
        <v>0</v>
      </c>
      <c r="D959" s="29" t="s">
        <v>342</v>
      </c>
      <c r="E959" s="30"/>
      <c r="F959" s="31"/>
      <c r="G959" s="15" t="s">
        <v>57</v>
      </c>
      <c r="H959" s="16" t="s">
        <v>163</v>
      </c>
    </row>
    <row r="960" spans="2:8" s="1" customFormat="1" x14ac:dyDescent="0.15">
      <c r="B960" s="32">
        <v>100193</v>
      </c>
      <c r="C960" s="2" t="s">
        <v>2</v>
      </c>
      <c r="D960" s="9">
        <f>ROUND(C12*815,0)</f>
        <v>5232</v>
      </c>
      <c r="E960" s="3" t="s">
        <v>3</v>
      </c>
      <c r="F960" s="11">
        <f>ROUND(C12*830,0)</f>
        <v>5329</v>
      </c>
      <c r="G960" s="4" t="s">
        <v>8</v>
      </c>
      <c r="H960" s="17" t="s">
        <v>164</v>
      </c>
    </row>
    <row r="961" spans="2:8" s="1" customFormat="1" ht="13.5" customHeight="1" x14ac:dyDescent="0.15">
      <c r="B961" s="33"/>
      <c r="C961" s="5" t="s">
        <v>4</v>
      </c>
      <c r="D961" s="9">
        <f>ROUND(C12*815,0)</f>
        <v>5232</v>
      </c>
      <c r="E961" s="6" t="s">
        <v>5</v>
      </c>
      <c r="F961" s="11">
        <f>ROUND(C12*830,0)</f>
        <v>5329</v>
      </c>
      <c r="G961" s="35">
        <v>50</v>
      </c>
      <c r="H961" s="17"/>
    </row>
    <row r="962" spans="2:8" s="1" customFormat="1" ht="13.5" customHeight="1" x14ac:dyDescent="0.15">
      <c r="B962" s="33"/>
      <c r="C962" s="7" t="s">
        <v>6</v>
      </c>
      <c r="D962" s="10">
        <v>5</v>
      </c>
      <c r="E962" s="8" t="s">
        <v>7</v>
      </c>
      <c r="F962" s="12">
        <f>ROUND(C12*400,0)</f>
        <v>2568</v>
      </c>
      <c r="G962" s="36"/>
      <c r="H962" s="17"/>
    </row>
    <row r="963" spans="2:8" s="1" customFormat="1" ht="14.25" thickBot="1" x14ac:dyDescent="0.2">
      <c r="B963" s="34"/>
      <c r="C963" s="18" t="s">
        <v>16</v>
      </c>
      <c r="D963" s="19" t="s">
        <v>82</v>
      </c>
      <c r="E963" s="20" t="s">
        <v>17</v>
      </c>
      <c r="F963" s="21" t="s">
        <v>45</v>
      </c>
      <c r="G963" s="22" t="s">
        <v>20</v>
      </c>
      <c r="H963" s="23" t="s">
        <v>136</v>
      </c>
    </row>
    <row r="964" spans="2:8" s="1" customFormat="1" x14ac:dyDescent="0.15">
      <c r="B964" s="13" t="s">
        <v>1</v>
      </c>
      <c r="C964" s="14" t="s">
        <v>0</v>
      </c>
      <c r="D964" s="29" t="s">
        <v>343</v>
      </c>
      <c r="E964" s="30"/>
      <c r="F964" s="31"/>
      <c r="G964" s="15" t="s">
        <v>57</v>
      </c>
      <c r="H964" s="16" t="s">
        <v>55</v>
      </c>
    </row>
    <row r="965" spans="2:8" s="1" customFormat="1" x14ac:dyDescent="0.15">
      <c r="B965" s="32">
        <v>100194</v>
      </c>
      <c r="C965" s="2" t="s">
        <v>2</v>
      </c>
      <c r="D965" s="9">
        <f>ROUND(C12*815,0)</f>
        <v>5232</v>
      </c>
      <c r="E965" s="3" t="s">
        <v>3</v>
      </c>
      <c r="F965" s="11">
        <f>ROUND(C12*830,0)</f>
        <v>5329</v>
      </c>
      <c r="G965" s="4" t="s">
        <v>8</v>
      </c>
      <c r="H965" s="17" t="s">
        <v>30</v>
      </c>
    </row>
    <row r="966" spans="2:8" s="1" customFormat="1" ht="13.5" customHeight="1" x14ac:dyDescent="0.15">
      <c r="B966" s="33"/>
      <c r="C966" s="5" t="s">
        <v>4</v>
      </c>
      <c r="D966" s="9">
        <f>ROUND(C12*815,0)</f>
        <v>5232</v>
      </c>
      <c r="E966" s="6" t="s">
        <v>5</v>
      </c>
      <c r="F966" s="11">
        <f>ROUND(C12*830,0)</f>
        <v>5329</v>
      </c>
      <c r="G966" s="35">
        <v>100</v>
      </c>
      <c r="H966" s="17"/>
    </row>
    <row r="967" spans="2:8" s="1" customFormat="1" ht="13.5" customHeight="1" x14ac:dyDescent="0.15">
      <c r="B967" s="33"/>
      <c r="C967" s="7" t="s">
        <v>6</v>
      </c>
      <c r="D967" s="10">
        <v>5</v>
      </c>
      <c r="E967" s="8" t="s">
        <v>7</v>
      </c>
      <c r="F967" s="12">
        <f>ROUND(C12*470,0)</f>
        <v>3017</v>
      </c>
      <c r="G967" s="36"/>
      <c r="H967" s="17"/>
    </row>
    <row r="968" spans="2:8" s="1" customFormat="1" ht="14.25" thickBot="1" x14ac:dyDescent="0.2">
      <c r="B968" s="34"/>
      <c r="C968" s="18" t="s">
        <v>16</v>
      </c>
      <c r="D968" s="19" t="s">
        <v>397</v>
      </c>
      <c r="E968" s="20" t="s">
        <v>17</v>
      </c>
      <c r="F968" s="21" t="s">
        <v>52</v>
      </c>
      <c r="G968" s="22" t="s">
        <v>20</v>
      </c>
      <c r="H968" s="23" t="s">
        <v>37</v>
      </c>
    </row>
    <row r="969" spans="2:8" s="1" customFormat="1" x14ac:dyDescent="0.15">
      <c r="B969" s="13" t="s">
        <v>1</v>
      </c>
      <c r="C969" s="14" t="s">
        <v>0</v>
      </c>
      <c r="D969" s="29" t="s">
        <v>344</v>
      </c>
      <c r="E969" s="30"/>
      <c r="F969" s="31"/>
      <c r="G969" s="15" t="s">
        <v>57</v>
      </c>
      <c r="H969" s="16" t="s">
        <v>35</v>
      </c>
    </row>
    <row r="970" spans="2:8" s="1" customFormat="1" x14ac:dyDescent="0.15">
      <c r="B970" s="32">
        <v>100195</v>
      </c>
      <c r="C970" s="2" t="s">
        <v>2</v>
      </c>
      <c r="D970" s="9">
        <f>ROUND(C12*800,0)</f>
        <v>5136</v>
      </c>
      <c r="E970" s="3" t="s">
        <v>3</v>
      </c>
      <c r="F970" s="11">
        <f>ROUND(C12*1700,0)</f>
        <v>10914</v>
      </c>
      <c r="G970" s="4" t="s">
        <v>8</v>
      </c>
      <c r="H970" s="17" t="s">
        <v>23</v>
      </c>
    </row>
    <row r="971" spans="2:8" s="1" customFormat="1" ht="13.5" customHeight="1" x14ac:dyDescent="0.15">
      <c r="B971" s="33"/>
      <c r="C971" s="5" t="s">
        <v>4</v>
      </c>
      <c r="D971" s="9">
        <f>ROUND(C12*800,0)</f>
        <v>5136</v>
      </c>
      <c r="E971" s="6" t="s">
        <v>5</v>
      </c>
      <c r="F971" s="11">
        <f>ROUND(C12*1700,0)</f>
        <v>10914</v>
      </c>
      <c r="G971" s="35">
        <v>100</v>
      </c>
      <c r="H971" s="17"/>
    </row>
    <row r="972" spans="2:8" s="1" customFormat="1" ht="13.5" customHeight="1" x14ac:dyDescent="0.15">
      <c r="B972" s="33"/>
      <c r="C972" s="7" t="s">
        <v>6</v>
      </c>
      <c r="D972" s="10">
        <v>3</v>
      </c>
      <c r="E972" s="8" t="s">
        <v>7</v>
      </c>
      <c r="F972" s="12">
        <f>ROUND(C12*430,0)</f>
        <v>2761</v>
      </c>
      <c r="G972" s="36"/>
      <c r="H972" s="17"/>
    </row>
    <row r="973" spans="2:8" s="1" customFormat="1" ht="14.25" thickBot="1" x14ac:dyDescent="0.2">
      <c r="B973" s="34"/>
      <c r="C973" s="18" t="s">
        <v>16</v>
      </c>
      <c r="D973" s="19" t="s">
        <v>430</v>
      </c>
      <c r="E973" s="20" t="s">
        <v>17</v>
      </c>
      <c r="F973" s="21" t="s">
        <v>294</v>
      </c>
      <c r="G973" s="22" t="s">
        <v>20</v>
      </c>
      <c r="H973" s="23" t="s">
        <v>37</v>
      </c>
    </row>
    <row r="974" spans="2:8" s="1" customFormat="1" x14ac:dyDescent="0.15">
      <c r="B974" s="13" t="s">
        <v>1</v>
      </c>
      <c r="C974" s="14" t="s">
        <v>0</v>
      </c>
      <c r="D974" s="29" t="s">
        <v>345</v>
      </c>
      <c r="E974" s="30"/>
      <c r="F974" s="31"/>
      <c r="G974" s="15" t="s">
        <v>57</v>
      </c>
      <c r="H974" s="16" t="s">
        <v>128</v>
      </c>
    </row>
    <row r="975" spans="2:8" s="1" customFormat="1" x14ac:dyDescent="0.15">
      <c r="B975" s="32">
        <v>100196</v>
      </c>
      <c r="C975" s="2" t="s">
        <v>2</v>
      </c>
      <c r="D975" s="9">
        <f>ROUND(C12*815,0)</f>
        <v>5232</v>
      </c>
      <c r="E975" s="3" t="s">
        <v>3</v>
      </c>
      <c r="F975" s="11">
        <f>ROUND(C12*830,0)</f>
        <v>5329</v>
      </c>
      <c r="G975" s="4" t="s">
        <v>8</v>
      </c>
      <c r="H975" s="17" t="s">
        <v>129</v>
      </c>
    </row>
    <row r="976" spans="2:8" s="1" customFormat="1" ht="13.5" customHeight="1" x14ac:dyDescent="0.15">
      <c r="B976" s="33"/>
      <c r="C976" s="5" t="s">
        <v>4</v>
      </c>
      <c r="D976" s="9">
        <f>ROUND(C12*815,0)</f>
        <v>5232</v>
      </c>
      <c r="E976" s="6" t="s">
        <v>5</v>
      </c>
      <c r="F976" s="11">
        <f>ROUND(C12*830,0)</f>
        <v>5329</v>
      </c>
      <c r="G976" s="35">
        <v>100</v>
      </c>
      <c r="H976" s="17"/>
    </row>
    <row r="977" spans="2:8" s="1" customFormat="1" ht="13.5" customHeight="1" x14ac:dyDescent="0.15">
      <c r="B977" s="33"/>
      <c r="C977" s="7" t="s">
        <v>6</v>
      </c>
      <c r="D977" s="10">
        <v>5</v>
      </c>
      <c r="E977" s="8" t="s">
        <v>7</v>
      </c>
      <c r="F977" s="12">
        <f>ROUND(C12*520,0)</f>
        <v>3338</v>
      </c>
      <c r="G977" s="36"/>
      <c r="H977" s="17"/>
    </row>
    <row r="978" spans="2:8" s="1" customFormat="1" ht="14.25" thickBot="1" x14ac:dyDescent="0.2">
      <c r="B978" s="34"/>
      <c r="C978" s="18" t="s">
        <v>16</v>
      </c>
      <c r="D978" s="19" t="s">
        <v>397</v>
      </c>
      <c r="E978" s="20" t="s">
        <v>17</v>
      </c>
      <c r="F978" s="21" t="s">
        <v>85</v>
      </c>
      <c r="G978" s="22" t="s">
        <v>20</v>
      </c>
      <c r="H978" s="23" t="s">
        <v>37</v>
      </c>
    </row>
    <row r="979" spans="2:8" s="1" customFormat="1" x14ac:dyDescent="0.15">
      <c r="B979" s="13" t="s">
        <v>1</v>
      </c>
      <c r="C979" s="14" t="s">
        <v>0</v>
      </c>
      <c r="D979" s="29" t="s">
        <v>346</v>
      </c>
      <c r="E979" s="30"/>
      <c r="F979" s="31"/>
      <c r="G979" s="15" t="s">
        <v>57</v>
      </c>
      <c r="H979" s="16" t="s">
        <v>77</v>
      </c>
    </row>
    <row r="980" spans="2:8" s="1" customFormat="1" x14ac:dyDescent="0.15">
      <c r="B980" s="32">
        <v>100197</v>
      </c>
      <c r="C980" s="2" t="s">
        <v>2</v>
      </c>
      <c r="D980" s="9">
        <f>ROUND(C12*800,0)</f>
        <v>5136</v>
      </c>
      <c r="E980" s="3" t="s">
        <v>3</v>
      </c>
      <c r="F980" s="11">
        <f>ROUND(C12*1700,0)</f>
        <v>10914</v>
      </c>
      <c r="G980" s="4" t="s">
        <v>8</v>
      </c>
      <c r="H980" s="17" t="s">
        <v>78</v>
      </c>
    </row>
    <row r="981" spans="2:8" s="1" customFormat="1" ht="13.5" customHeight="1" x14ac:dyDescent="0.15">
      <c r="B981" s="33"/>
      <c r="C981" s="5" t="s">
        <v>4</v>
      </c>
      <c r="D981" s="9">
        <f>ROUND(C12*800,0)</f>
        <v>5136</v>
      </c>
      <c r="E981" s="6" t="s">
        <v>5</v>
      </c>
      <c r="F981" s="11">
        <f>ROUND(C12*1700,0)</f>
        <v>10914</v>
      </c>
      <c r="G981" s="35">
        <v>100</v>
      </c>
      <c r="H981" s="17"/>
    </row>
    <row r="982" spans="2:8" s="1" customFormat="1" ht="13.5" customHeight="1" x14ac:dyDescent="0.15">
      <c r="B982" s="33"/>
      <c r="C982" s="7" t="s">
        <v>6</v>
      </c>
      <c r="D982" s="10">
        <v>3</v>
      </c>
      <c r="E982" s="8" t="s">
        <v>7</v>
      </c>
      <c r="F982" s="12">
        <f>ROUND(C12*450,0)</f>
        <v>2889</v>
      </c>
      <c r="G982" s="36"/>
      <c r="H982" s="17"/>
    </row>
    <row r="983" spans="2:8" s="1" customFormat="1" ht="14.25" thickBot="1" x14ac:dyDescent="0.2">
      <c r="B983" s="34"/>
      <c r="C983" s="18" t="s">
        <v>16</v>
      </c>
      <c r="D983" s="19" t="s">
        <v>48</v>
      </c>
      <c r="E983" s="20" t="s">
        <v>17</v>
      </c>
      <c r="F983" s="21" t="s">
        <v>293</v>
      </c>
      <c r="G983" s="22" t="s">
        <v>20</v>
      </c>
      <c r="H983" s="23" t="s">
        <v>37</v>
      </c>
    </row>
    <row r="984" spans="2:8" s="1" customFormat="1" x14ac:dyDescent="0.15">
      <c r="B984" s="13" t="s">
        <v>1</v>
      </c>
      <c r="C984" s="14" t="s">
        <v>0</v>
      </c>
      <c r="D984" s="29" t="s">
        <v>347</v>
      </c>
      <c r="E984" s="30"/>
      <c r="F984" s="31"/>
      <c r="G984" s="15" t="s">
        <v>57</v>
      </c>
      <c r="H984" s="16" t="s">
        <v>108</v>
      </c>
    </row>
    <row r="985" spans="2:8" s="1" customFormat="1" x14ac:dyDescent="0.15">
      <c r="B985" s="32">
        <v>100198</v>
      </c>
      <c r="C985" s="2" t="s">
        <v>2</v>
      </c>
      <c r="D985" s="9">
        <f>ROUND(C12*815,0)</f>
        <v>5232</v>
      </c>
      <c r="E985" s="3" t="s">
        <v>3</v>
      </c>
      <c r="F985" s="11">
        <f>ROUND(C12*830,0)</f>
        <v>5329</v>
      </c>
      <c r="G985" s="4" t="s">
        <v>8</v>
      </c>
      <c r="H985" s="17" t="s">
        <v>109</v>
      </c>
    </row>
    <row r="986" spans="2:8" s="1" customFormat="1" ht="13.5" customHeight="1" x14ac:dyDescent="0.15">
      <c r="B986" s="33"/>
      <c r="C986" s="5" t="s">
        <v>4</v>
      </c>
      <c r="D986" s="9">
        <f>ROUND(C12*815,0)</f>
        <v>5232</v>
      </c>
      <c r="E986" s="6" t="s">
        <v>5</v>
      </c>
      <c r="F986" s="11">
        <f>ROUND(C12*830,0)</f>
        <v>5329</v>
      </c>
      <c r="G986" s="35">
        <v>100</v>
      </c>
      <c r="H986" s="17"/>
    </row>
    <row r="987" spans="2:8" s="1" customFormat="1" ht="13.5" customHeight="1" x14ac:dyDescent="0.15">
      <c r="B987" s="33"/>
      <c r="C987" s="7" t="s">
        <v>6</v>
      </c>
      <c r="D987" s="10">
        <v>5</v>
      </c>
      <c r="E987" s="8" t="s">
        <v>7</v>
      </c>
      <c r="F987" s="12">
        <f>ROUND(C12*410,0)</f>
        <v>2632</v>
      </c>
      <c r="G987" s="36"/>
      <c r="H987" s="17"/>
    </row>
    <row r="988" spans="2:8" s="1" customFormat="1" ht="14.25" thickBot="1" x14ac:dyDescent="0.2">
      <c r="B988" s="34"/>
      <c r="C988" s="18" t="s">
        <v>16</v>
      </c>
      <c r="D988" s="19" t="s">
        <v>45</v>
      </c>
      <c r="E988" s="20" t="s">
        <v>17</v>
      </c>
      <c r="F988" s="21" t="s">
        <v>36</v>
      </c>
      <c r="G988" s="22" t="s">
        <v>20</v>
      </c>
      <c r="H988" s="23" t="s">
        <v>37</v>
      </c>
    </row>
    <row r="989" spans="2:8" s="1" customFormat="1" x14ac:dyDescent="0.15">
      <c r="B989" s="13" t="s">
        <v>1</v>
      </c>
      <c r="C989" s="14" t="s">
        <v>0</v>
      </c>
      <c r="D989" s="29" t="s">
        <v>348</v>
      </c>
      <c r="E989" s="30"/>
      <c r="F989" s="31"/>
      <c r="G989" s="15" t="s">
        <v>57</v>
      </c>
      <c r="H989" s="16" t="s">
        <v>139</v>
      </c>
    </row>
    <row r="990" spans="2:8" s="1" customFormat="1" x14ac:dyDescent="0.15">
      <c r="B990" s="32">
        <v>100199</v>
      </c>
      <c r="C990" s="2" t="s">
        <v>2</v>
      </c>
      <c r="D990" s="9">
        <f>ROUND(C12*815,0)</f>
        <v>5232</v>
      </c>
      <c r="E990" s="3" t="s">
        <v>3</v>
      </c>
      <c r="F990" s="11">
        <f>ROUND(C12*830,0)</f>
        <v>5329</v>
      </c>
      <c r="G990" s="4" t="s">
        <v>8</v>
      </c>
      <c r="H990" s="17" t="s">
        <v>140</v>
      </c>
    </row>
    <row r="991" spans="2:8" s="1" customFormat="1" ht="13.5" customHeight="1" x14ac:dyDescent="0.15">
      <c r="B991" s="33"/>
      <c r="C991" s="5" t="s">
        <v>4</v>
      </c>
      <c r="D991" s="9">
        <f>ROUND(C12*815,0)</f>
        <v>5232</v>
      </c>
      <c r="E991" s="6" t="s">
        <v>5</v>
      </c>
      <c r="F991" s="11">
        <f>ROUND(C12*830,0)</f>
        <v>5329</v>
      </c>
      <c r="G991" s="35">
        <v>50</v>
      </c>
      <c r="H991" s="17"/>
    </row>
    <row r="992" spans="2:8" s="1" customFormat="1" ht="13.5" customHeight="1" x14ac:dyDescent="0.15">
      <c r="B992" s="33"/>
      <c r="C992" s="7" t="s">
        <v>6</v>
      </c>
      <c r="D992" s="10">
        <v>5</v>
      </c>
      <c r="E992" s="8" t="s">
        <v>7</v>
      </c>
      <c r="F992" s="12">
        <f>ROUND(C12*380,0)</f>
        <v>2440</v>
      </c>
      <c r="G992" s="36"/>
      <c r="H992" s="17"/>
    </row>
    <row r="993" spans="2:8" s="1" customFormat="1" ht="14.25" thickBot="1" x14ac:dyDescent="0.2">
      <c r="B993" s="34"/>
      <c r="C993" s="18" t="s">
        <v>16</v>
      </c>
      <c r="D993" s="19" t="s">
        <v>33</v>
      </c>
      <c r="E993" s="20" t="s">
        <v>17</v>
      </c>
      <c r="F993" s="21" t="s">
        <v>36</v>
      </c>
      <c r="G993" s="22" t="s">
        <v>20</v>
      </c>
      <c r="H993" s="23" t="s">
        <v>349</v>
      </c>
    </row>
    <row r="994" spans="2:8" s="1" customFormat="1" x14ac:dyDescent="0.15">
      <c r="B994" s="13" t="s">
        <v>1</v>
      </c>
      <c r="C994" s="14" t="s">
        <v>0</v>
      </c>
      <c r="D994" s="29" t="s">
        <v>350</v>
      </c>
      <c r="E994" s="30"/>
      <c r="F994" s="31"/>
      <c r="G994" s="15" t="s">
        <v>57</v>
      </c>
      <c r="H994" s="16" t="s">
        <v>91</v>
      </c>
    </row>
    <row r="995" spans="2:8" s="1" customFormat="1" x14ac:dyDescent="0.15">
      <c r="B995" s="32">
        <v>100200</v>
      </c>
      <c r="C995" s="2" t="s">
        <v>2</v>
      </c>
      <c r="D995" s="9">
        <f>ROUND(C12*815,0)</f>
        <v>5232</v>
      </c>
      <c r="E995" s="3" t="s">
        <v>3</v>
      </c>
      <c r="F995" s="11">
        <f>ROUND(C12*830,0)</f>
        <v>5329</v>
      </c>
      <c r="G995" s="4" t="s">
        <v>8</v>
      </c>
      <c r="H995" s="17" t="s">
        <v>92</v>
      </c>
    </row>
    <row r="996" spans="2:8" s="1" customFormat="1" ht="13.5" customHeight="1" x14ac:dyDescent="0.15">
      <c r="B996" s="33"/>
      <c r="C996" s="5" t="s">
        <v>4</v>
      </c>
      <c r="D996" s="9">
        <f>ROUND(C12*815,0)</f>
        <v>5232</v>
      </c>
      <c r="E996" s="6" t="s">
        <v>5</v>
      </c>
      <c r="F996" s="11">
        <f>ROUND(C12*830,0)</f>
        <v>5329</v>
      </c>
      <c r="G996" s="35">
        <v>100</v>
      </c>
      <c r="H996" s="17"/>
    </row>
    <row r="997" spans="2:8" s="1" customFormat="1" ht="13.5" customHeight="1" x14ac:dyDescent="0.15">
      <c r="B997" s="33"/>
      <c r="C997" s="7" t="s">
        <v>6</v>
      </c>
      <c r="D997" s="10">
        <v>5</v>
      </c>
      <c r="E997" s="8" t="s">
        <v>7</v>
      </c>
      <c r="F997" s="12">
        <f>ROUND(C12*370,0)</f>
        <v>2375</v>
      </c>
      <c r="G997" s="36"/>
      <c r="H997" s="17"/>
    </row>
    <row r="998" spans="2:8" s="1" customFormat="1" ht="14.25" thickBot="1" x14ac:dyDescent="0.2">
      <c r="B998" s="34"/>
      <c r="C998" s="18" t="s">
        <v>16</v>
      </c>
      <c r="D998" s="19" t="s">
        <v>392</v>
      </c>
      <c r="E998" s="20" t="s">
        <v>17</v>
      </c>
      <c r="F998" s="21" t="s">
        <v>32</v>
      </c>
      <c r="G998" s="22" t="s">
        <v>20</v>
      </c>
      <c r="H998" s="23" t="s">
        <v>37</v>
      </c>
    </row>
    <row r="999" spans="2:8" s="1" customFormat="1" x14ac:dyDescent="0.15">
      <c r="B999" s="13" t="s">
        <v>1</v>
      </c>
      <c r="C999" s="14" t="s">
        <v>0</v>
      </c>
      <c r="D999" s="29" t="s">
        <v>351</v>
      </c>
      <c r="E999" s="30"/>
      <c r="F999" s="31"/>
      <c r="G999" s="15" t="s">
        <v>57</v>
      </c>
      <c r="H999" s="16" t="s">
        <v>116</v>
      </c>
    </row>
    <row r="1000" spans="2:8" s="1" customFormat="1" x14ac:dyDescent="0.15">
      <c r="B1000" s="32">
        <v>100201</v>
      </c>
      <c r="C1000" s="2" t="s">
        <v>2</v>
      </c>
      <c r="D1000" s="9">
        <f>ROUND(C12*800,0)</f>
        <v>5136</v>
      </c>
      <c r="E1000" s="3" t="s">
        <v>3</v>
      </c>
      <c r="F1000" s="11">
        <f>ROUND(C12*1700,0)</f>
        <v>10914</v>
      </c>
      <c r="G1000" s="4" t="s">
        <v>8</v>
      </c>
      <c r="H1000" s="17" t="s">
        <v>117</v>
      </c>
    </row>
    <row r="1001" spans="2:8" s="1" customFormat="1" ht="13.5" customHeight="1" x14ac:dyDescent="0.15">
      <c r="B1001" s="33"/>
      <c r="C1001" s="5" t="s">
        <v>4</v>
      </c>
      <c r="D1001" s="9">
        <f>ROUND(C12*800,0)</f>
        <v>5136</v>
      </c>
      <c r="E1001" s="6" t="s">
        <v>5</v>
      </c>
      <c r="F1001" s="11">
        <f>ROUND(C12*1700,0)</f>
        <v>10914</v>
      </c>
      <c r="G1001" s="35">
        <v>100</v>
      </c>
      <c r="H1001" s="17"/>
    </row>
    <row r="1002" spans="2:8" s="1" customFormat="1" ht="13.5" customHeight="1" x14ac:dyDescent="0.15">
      <c r="B1002" s="33"/>
      <c r="C1002" s="7" t="s">
        <v>6</v>
      </c>
      <c r="D1002" s="10">
        <v>3</v>
      </c>
      <c r="E1002" s="8" t="s">
        <v>7</v>
      </c>
      <c r="F1002" s="12">
        <f>ROUND(C12*360,0)</f>
        <v>2311</v>
      </c>
      <c r="G1002" s="36"/>
      <c r="H1002" s="17"/>
    </row>
    <row r="1003" spans="2:8" s="1" customFormat="1" ht="14.25" thickBot="1" x14ac:dyDescent="0.2">
      <c r="B1003" s="34"/>
      <c r="C1003" s="18" t="s">
        <v>16</v>
      </c>
      <c r="D1003" s="19" t="s">
        <v>49</v>
      </c>
      <c r="E1003" s="20" t="s">
        <v>17</v>
      </c>
      <c r="F1003" s="21" t="s">
        <v>392</v>
      </c>
      <c r="G1003" s="22" t="s">
        <v>20</v>
      </c>
      <c r="H1003" s="23" t="s">
        <v>37</v>
      </c>
    </row>
    <row r="1004" spans="2:8" s="1" customFormat="1" x14ac:dyDescent="0.15">
      <c r="B1004" s="13" t="s">
        <v>1</v>
      </c>
      <c r="C1004" s="14" t="s">
        <v>0</v>
      </c>
      <c r="D1004" s="29" t="s">
        <v>352</v>
      </c>
      <c r="E1004" s="30"/>
      <c r="F1004" s="31"/>
      <c r="G1004" s="15" t="s">
        <v>57</v>
      </c>
      <c r="H1004" s="16" t="s">
        <v>35</v>
      </c>
    </row>
    <row r="1005" spans="2:8" s="1" customFormat="1" x14ac:dyDescent="0.15">
      <c r="B1005" s="32">
        <v>100202</v>
      </c>
      <c r="C1005" s="2" t="s">
        <v>2</v>
      </c>
      <c r="D1005" s="9">
        <f>ROUND(C12*815,0)</f>
        <v>5232</v>
      </c>
      <c r="E1005" s="3" t="s">
        <v>3</v>
      </c>
      <c r="F1005" s="11">
        <f>ROUND(C12*830,0)</f>
        <v>5329</v>
      </c>
      <c r="G1005" s="4" t="s">
        <v>8</v>
      </c>
      <c r="H1005" s="17" t="s">
        <v>23</v>
      </c>
    </row>
    <row r="1006" spans="2:8" s="1" customFormat="1" ht="13.5" customHeight="1" x14ac:dyDescent="0.15">
      <c r="B1006" s="33"/>
      <c r="C1006" s="5" t="s">
        <v>4</v>
      </c>
      <c r="D1006" s="9">
        <f>ROUND(C12*815,0)</f>
        <v>5232</v>
      </c>
      <c r="E1006" s="6" t="s">
        <v>5</v>
      </c>
      <c r="F1006" s="11">
        <f>ROUND(C12*830,0)</f>
        <v>5329</v>
      </c>
      <c r="G1006" s="35">
        <v>100</v>
      </c>
      <c r="H1006" s="17"/>
    </row>
    <row r="1007" spans="2:8" s="1" customFormat="1" ht="13.5" customHeight="1" x14ac:dyDescent="0.15">
      <c r="B1007" s="33"/>
      <c r="C1007" s="7" t="s">
        <v>6</v>
      </c>
      <c r="D1007" s="10">
        <v>5</v>
      </c>
      <c r="E1007" s="8" t="s">
        <v>7</v>
      </c>
      <c r="F1007" s="12">
        <f>ROUND(C12*500,0)</f>
        <v>3210</v>
      </c>
      <c r="G1007" s="36"/>
      <c r="H1007" s="17"/>
    </row>
    <row r="1008" spans="2:8" s="1" customFormat="1" ht="14.25" thickBot="1" x14ac:dyDescent="0.2">
      <c r="B1008" s="34"/>
      <c r="C1008" s="18" t="s">
        <v>16</v>
      </c>
      <c r="D1008" s="19" t="s">
        <v>49</v>
      </c>
      <c r="E1008" s="20" t="s">
        <v>17</v>
      </c>
      <c r="F1008" s="21" t="s">
        <v>100</v>
      </c>
      <c r="G1008" s="22" t="s">
        <v>20</v>
      </c>
      <c r="H1008" s="23" t="s">
        <v>37</v>
      </c>
    </row>
    <row r="1009" spans="2:8" s="1" customFormat="1" x14ac:dyDescent="0.15">
      <c r="B1009" s="13" t="s">
        <v>1</v>
      </c>
      <c r="C1009" s="14" t="s">
        <v>0</v>
      </c>
      <c r="D1009" s="29" t="s">
        <v>353</v>
      </c>
      <c r="E1009" s="30"/>
      <c r="F1009" s="31"/>
      <c r="G1009" s="15" t="s">
        <v>57</v>
      </c>
      <c r="H1009" s="16" t="s">
        <v>41</v>
      </c>
    </row>
    <row r="1010" spans="2:8" s="1" customFormat="1" x14ac:dyDescent="0.15">
      <c r="B1010" s="32">
        <v>100203</v>
      </c>
      <c r="C1010" s="2" t="s">
        <v>2</v>
      </c>
      <c r="D1010" s="9">
        <f>ROUND(C12*800,0)</f>
        <v>5136</v>
      </c>
      <c r="E1010" s="3" t="s">
        <v>3</v>
      </c>
      <c r="F1010" s="11">
        <f>ROUND(C12*1700,0)</f>
        <v>10914</v>
      </c>
      <c r="G1010" s="4" t="s">
        <v>8</v>
      </c>
      <c r="H1010" s="17" t="s">
        <v>25</v>
      </c>
    </row>
    <row r="1011" spans="2:8" s="1" customFormat="1" ht="13.5" customHeight="1" x14ac:dyDescent="0.15">
      <c r="B1011" s="33"/>
      <c r="C1011" s="5" t="s">
        <v>4</v>
      </c>
      <c r="D1011" s="9">
        <f>ROUND(C12*800,0)</f>
        <v>5136</v>
      </c>
      <c r="E1011" s="6" t="s">
        <v>5</v>
      </c>
      <c r="F1011" s="11">
        <f>ROUND(C12*1700,0)</f>
        <v>10914</v>
      </c>
      <c r="G1011" s="35">
        <v>100</v>
      </c>
      <c r="H1011" s="17"/>
    </row>
    <row r="1012" spans="2:8" s="1" customFormat="1" ht="13.5" customHeight="1" x14ac:dyDescent="0.15">
      <c r="B1012" s="33"/>
      <c r="C1012" s="7" t="s">
        <v>6</v>
      </c>
      <c r="D1012" s="10">
        <v>3</v>
      </c>
      <c r="E1012" s="8" t="s">
        <v>7</v>
      </c>
      <c r="F1012" s="12">
        <f>ROUND(C12*380,0)</f>
        <v>2440</v>
      </c>
      <c r="G1012" s="36"/>
      <c r="H1012" s="17"/>
    </row>
    <row r="1013" spans="2:8" s="1" customFormat="1" ht="14.25" thickBot="1" x14ac:dyDescent="0.2">
      <c r="B1013" s="34"/>
      <c r="C1013" s="18" t="s">
        <v>16</v>
      </c>
      <c r="D1013" s="19" t="s">
        <v>45</v>
      </c>
      <c r="E1013" s="20" t="s">
        <v>17</v>
      </c>
      <c r="F1013" s="21" t="s">
        <v>293</v>
      </c>
      <c r="G1013" s="22" t="s">
        <v>20</v>
      </c>
      <c r="H1013" s="23" t="s">
        <v>37</v>
      </c>
    </row>
    <row r="1014" spans="2:8" s="1" customFormat="1" x14ac:dyDescent="0.15">
      <c r="B1014" s="13" t="s">
        <v>1</v>
      </c>
      <c r="C1014" s="14" t="s">
        <v>0</v>
      </c>
      <c r="D1014" s="29" t="s">
        <v>354</v>
      </c>
      <c r="E1014" s="30"/>
      <c r="F1014" s="31"/>
      <c r="G1014" s="15" t="s">
        <v>57</v>
      </c>
      <c r="H1014" s="16" t="s">
        <v>131</v>
      </c>
    </row>
    <row r="1015" spans="2:8" s="1" customFormat="1" x14ac:dyDescent="0.15">
      <c r="B1015" s="32">
        <v>100204</v>
      </c>
      <c r="C1015" s="2" t="s">
        <v>2</v>
      </c>
      <c r="D1015" s="9">
        <f>ROUND(C12*800,0)</f>
        <v>5136</v>
      </c>
      <c r="E1015" s="3" t="s">
        <v>3</v>
      </c>
      <c r="F1015" s="11">
        <f>ROUND(C12*1700,0)</f>
        <v>10914</v>
      </c>
      <c r="G1015" s="4" t="s">
        <v>8</v>
      </c>
      <c r="H1015" s="17" t="s">
        <v>132</v>
      </c>
    </row>
    <row r="1016" spans="2:8" s="1" customFormat="1" ht="13.5" customHeight="1" x14ac:dyDescent="0.15">
      <c r="B1016" s="33"/>
      <c r="C1016" s="5" t="s">
        <v>4</v>
      </c>
      <c r="D1016" s="9">
        <f>ROUND(C12*800,0)</f>
        <v>5136</v>
      </c>
      <c r="E1016" s="6" t="s">
        <v>5</v>
      </c>
      <c r="F1016" s="11">
        <f>ROUND(C12*1700,0)</f>
        <v>10914</v>
      </c>
      <c r="G1016" s="35">
        <v>100</v>
      </c>
      <c r="H1016" s="17"/>
    </row>
    <row r="1017" spans="2:8" s="1" customFormat="1" ht="13.5" customHeight="1" x14ac:dyDescent="0.15">
      <c r="B1017" s="33"/>
      <c r="C1017" s="7" t="s">
        <v>6</v>
      </c>
      <c r="D1017" s="10">
        <v>3</v>
      </c>
      <c r="E1017" s="8" t="s">
        <v>7</v>
      </c>
      <c r="F1017" s="12">
        <f>ROUND(C12*380,0)</f>
        <v>2440</v>
      </c>
      <c r="G1017" s="36"/>
      <c r="H1017" s="17"/>
    </row>
    <row r="1018" spans="2:8" s="1" customFormat="1" ht="14.25" thickBot="1" x14ac:dyDescent="0.2">
      <c r="B1018" s="34"/>
      <c r="C1018" s="18" t="s">
        <v>16</v>
      </c>
      <c r="D1018" s="19" t="s">
        <v>294</v>
      </c>
      <c r="E1018" s="20" t="s">
        <v>17</v>
      </c>
      <c r="F1018" s="21" t="s">
        <v>51</v>
      </c>
      <c r="G1018" s="22" t="s">
        <v>20</v>
      </c>
      <c r="H1018" s="23" t="s">
        <v>37</v>
      </c>
    </row>
    <row r="1019" spans="2:8" s="1" customFormat="1" x14ac:dyDescent="0.15">
      <c r="B1019" s="13" t="s">
        <v>1</v>
      </c>
      <c r="C1019" s="14" t="s">
        <v>0</v>
      </c>
      <c r="D1019" s="29" t="s">
        <v>356</v>
      </c>
      <c r="E1019" s="30"/>
      <c r="F1019" s="31"/>
      <c r="G1019" s="15" t="s">
        <v>57</v>
      </c>
      <c r="H1019" s="16" t="s">
        <v>91</v>
      </c>
    </row>
    <row r="1020" spans="2:8" s="1" customFormat="1" x14ac:dyDescent="0.15">
      <c r="B1020" s="32">
        <v>100205</v>
      </c>
      <c r="C1020" s="2" t="s">
        <v>2</v>
      </c>
      <c r="D1020" s="9">
        <f>ROUND(C12*800,0)</f>
        <v>5136</v>
      </c>
      <c r="E1020" s="3" t="s">
        <v>3</v>
      </c>
      <c r="F1020" s="11">
        <f>ROUND(C12*1700,0)</f>
        <v>10914</v>
      </c>
      <c r="G1020" s="4" t="s">
        <v>8</v>
      </c>
      <c r="H1020" s="17" t="s">
        <v>92</v>
      </c>
    </row>
    <row r="1021" spans="2:8" s="1" customFormat="1" ht="13.5" customHeight="1" x14ac:dyDescent="0.15">
      <c r="B1021" s="33"/>
      <c r="C1021" s="5" t="s">
        <v>4</v>
      </c>
      <c r="D1021" s="9">
        <f>ROUND(C12*800,0)</f>
        <v>5136</v>
      </c>
      <c r="E1021" s="6" t="s">
        <v>5</v>
      </c>
      <c r="F1021" s="11">
        <f>ROUND(C12*1700,0)</f>
        <v>10914</v>
      </c>
      <c r="G1021" s="35">
        <v>100</v>
      </c>
      <c r="H1021" s="17"/>
    </row>
    <row r="1022" spans="2:8" s="1" customFormat="1" ht="13.5" customHeight="1" x14ac:dyDescent="0.15">
      <c r="B1022" s="33"/>
      <c r="C1022" s="7" t="s">
        <v>6</v>
      </c>
      <c r="D1022" s="10">
        <v>3</v>
      </c>
      <c r="E1022" s="8" t="s">
        <v>7</v>
      </c>
      <c r="F1022" s="12">
        <f>ROUND(C12*500,0)</f>
        <v>3210</v>
      </c>
      <c r="G1022" s="36"/>
      <c r="H1022" s="17"/>
    </row>
    <row r="1023" spans="2:8" s="1" customFormat="1" ht="14.25" thickBot="1" x14ac:dyDescent="0.2">
      <c r="B1023" s="34"/>
      <c r="C1023" s="18" t="s">
        <v>16</v>
      </c>
      <c r="D1023" s="19" t="s">
        <v>71</v>
      </c>
      <c r="E1023" s="20" t="s">
        <v>17</v>
      </c>
      <c r="F1023" s="21" t="s">
        <v>51</v>
      </c>
      <c r="G1023" s="22" t="s">
        <v>20</v>
      </c>
      <c r="H1023" s="23" t="s">
        <v>37</v>
      </c>
    </row>
    <row r="1024" spans="2:8" s="1" customFormat="1" x14ac:dyDescent="0.15">
      <c r="B1024" s="13" t="s">
        <v>1</v>
      </c>
      <c r="C1024" s="14" t="s">
        <v>0</v>
      </c>
      <c r="D1024" s="29" t="s">
        <v>357</v>
      </c>
      <c r="E1024" s="30"/>
      <c r="F1024" s="31"/>
      <c r="G1024" s="15" t="s">
        <v>57</v>
      </c>
      <c r="H1024" s="16" t="s">
        <v>167</v>
      </c>
    </row>
    <row r="1025" spans="2:8" s="1" customFormat="1" x14ac:dyDescent="0.15">
      <c r="B1025" s="32">
        <v>100206</v>
      </c>
      <c r="C1025" s="2" t="s">
        <v>2</v>
      </c>
      <c r="D1025" s="9">
        <f>ROUND(C12*815,0)</f>
        <v>5232</v>
      </c>
      <c r="E1025" s="3" t="s">
        <v>3</v>
      </c>
      <c r="F1025" s="11">
        <f>ROUND(C12*830,0)</f>
        <v>5329</v>
      </c>
      <c r="G1025" s="4" t="s">
        <v>8</v>
      </c>
      <c r="H1025" s="17" t="s">
        <v>168</v>
      </c>
    </row>
    <row r="1026" spans="2:8" s="1" customFormat="1" ht="13.5" customHeight="1" x14ac:dyDescent="0.15">
      <c r="B1026" s="33"/>
      <c r="C1026" s="5" t="s">
        <v>4</v>
      </c>
      <c r="D1026" s="9">
        <f>ROUND(C12*815,0)</f>
        <v>5232</v>
      </c>
      <c r="E1026" s="6" t="s">
        <v>5</v>
      </c>
      <c r="F1026" s="11">
        <f>ROUND(C12*830,0)</f>
        <v>5329</v>
      </c>
      <c r="G1026" s="35">
        <v>50</v>
      </c>
      <c r="H1026" s="17"/>
    </row>
    <row r="1027" spans="2:8" s="1" customFormat="1" ht="13.5" customHeight="1" x14ac:dyDescent="0.15">
      <c r="B1027" s="33"/>
      <c r="C1027" s="7" t="s">
        <v>6</v>
      </c>
      <c r="D1027" s="10">
        <v>5</v>
      </c>
      <c r="E1027" s="8" t="s">
        <v>7</v>
      </c>
      <c r="F1027" s="12">
        <f>ROUND(C12*380,0)</f>
        <v>2440</v>
      </c>
      <c r="G1027" s="36"/>
      <c r="H1027" s="17"/>
    </row>
    <row r="1028" spans="2:8" s="1" customFormat="1" ht="14.25" thickBot="1" x14ac:dyDescent="0.2">
      <c r="B1028" s="34"/>
      <c r="C1028" s="18" t="s">
        <v>16</v>
      </c>
      <c r="D1028" s="19" t="s">
        <v>82</v>
      </c>
      <c r="E1028" s="20" t="s">
        <v>17</v>
      </c>
      <c r="F1028" s="21" t="s">
        <v>54</v>
      </c>
      <c r="G1028" s="22" t="s">
        <v>20</v>
      </c>
      <c r="H1028" s="23" t="s">
        <v>358</v>
      </c>
    </row>
    <row r="1029" spans="2:8" s="1" customFormat="1" x14ac:dyDescent="0.15">
      <c r="B1029" s="13" t="s">
        <v>1</v>
      </c>
      <c r="C1029" s="14" t="s">
        <v>0</v>
      </c>
      <c r="D1029" s="29" t="s">
        <v>359</v>
      </c>
      <c r="E1029" s="30"/>
      <c r="F1029" s="31"/>
      <c r="G1029" s="15" t="s">
        <v>57</v>
      </c>
      <c r="H1029" s="16" t="s">
        <v>80</v>
      </c>
    </row>
    <row r="1030" spans="2:8" s="1" customFormat="1" x14ac:dyDescent="0.15">
      <c r="B1030" s="32">
        <v>100207</v>
      </c>
      <c r="C1030" s="2" t="s">
        <v>2</v>
      </c>
      <c r="D1030" s="9">
        <f>ROUND(C12*815,0)</f>
        <v>5232</v>
      </c>
      <c r="E1030" s="3" t="s">
        <v>3</v>
      </c>
      <c r="F1030" s="11">
        <f>ROUND(C12*830,0)</f>
        <v>5329</v>
      </c>
      <c r="G1030" s="4" t="s">
        <v>8</v>
      </c>
      <c r="H1030" s="17" t="s">
        <v>81</v>
      </c>
    </row>
    <row r="1031" spans="2:8" s="1" customFormat="1" ht="13.5" customHeight="1" x14ac:dyDescent="0.15">
      <c r="B1031" s="33"/>
      <c r="C1031" s="5" t="s">
        <v>4</v>
      </c>
      <c r="D1031" s="9">
        <f>ROUND(C12*815,0)</f>
        <v>5232</v>
      </c>
      <c r="E1031" s="6" t="s">
        <v>5</v>
      </c>
      <c r="F1031" s="11">
        <f>ROUND(C12*830,0)</f>
        <v>5329</v>
      </c>
      <c r="G1031" s="35">
        <v>100</v>
      </c>
      <c r="H1031" s="17"/>
    </row>
    <row r="1032" spans="2:8" s="1" customFormat="1" ht="13.5" customHeight="1" x14ac:dyDescent="0.15">
      <c r="B1032" s="33"/>
      <c r="C1032" s="7" t="s">
        <v>6</v>
      </c>
      <c r="D1032" s="10">
        <v>5</v>
      </c>
      <c r="E1032" s="8" t="s">
        <v>7</v>
      </c>
      <c r="F1032" s="12">
        <f>ROUND(C12*380,0)</f>
        <v>2440</v>
      </c>
      <c r="G1032" s="36"/>
      <c r="H1032" s="17"/>
    </row>
    <row r="1033" spans="2:8" s="1" customFormat="1" ht="14.25" thickBot="1" x14ac:dyDescent="0.2">
      <c r="B1033" s="34"/>
      <c r="C1033" s="18" t="s">
        <v>16</v>
      </c>
      <c r="D1033" s="19" t="s">
        <v>48</v>
      </c>
      <c r="E1033" s="20" t="s">
        <v>17</v>
      </c>
      <c r="F1033" s="21" t="s">
        <v>49</v>
      </c>
      <c r="G1033" s="22" t="s">
        <v>20</v>
      </c>
      <c r="H1033" s="23" t="s">
        <v>37</v>
      </c>
    </row>
    <row r="1034" spans="2:8" s="1" customFormat="1" x14ac:dyDescent="0.15">
      <c r="B1034" s="13" t="s">
        <v>1</v>
      </c>
      <c r="C1034" s="14" t="s">
        <v>0</v>
      </c>
      <c r="D1034" s="29" t="s">
        <v>360</v>
      </c>
      <c r="E1034" s="30"/>
      <c r="F1034" s="31"/>
      <c r="G1034" s="15" t="s">
        <v>57</v>
      </c>
      <c r="H1034" s="16" t="s">
        <v>341</v>
      </c>
    </row>
    <row r="1035" spans="2:8" s="1" customFormat="1" x14ac:dyDescent="0.15">
      <c r="B1035" s="32">
        <v>100208</v>
      </c>
      <c r="C1035" s="2" t="s">
        <v>2</v>
      </c>
      <c r="D1035" s="9">
        <f>ROUND(C12*815,0)</f>
        <v>5232</v>
      </c>
      <c r="E1035" s="3" t="s">
        <v>3</v>
      </c>
      <c r="F1035" s="11">
        <f>ROUND(C12*830,0)</f>
        <v>5329</v>
      </c>
      <c r="G1035" s="4" t="s">
        <v>8</v>
      </c>
      <c r="H1035" s="17" t="s">
        <v>144</v>
      </c>
    </row>
    <row r="1036" spans="2:8" s="1" customFormat="1" ht="13.5" customHeight="1" x14ac:dyDescent="0.15">
      <c r="B1036" s="33"/>
      <c r="C1036" s="5" t="s">
        <v>4</v>
      </c>
      <c r="D1036" s="9">
        <f>ROUND(C12*815,0)</f>
        <v>5232</v>
      </c>
      <c r="E1036" s="6" t="s">
        <v>5</v>
      </c>
      <c r="F1036" s="11">
        <f>ROUND(C12*830,0)</f>
        <v>5329</v>
      </c>
      <c r="G1036" s="35">
        <v>50</v>
      </c>
      <c r="H1036" s="17"/>
    </row>
    <row r="1037" spans="2:8" s="1" customFormat="1" ht="13.5" customHeight="1" x14ac:dyDescent="0.15">
      <c r="B1037" s="33"/>
      <c r="C1037" s="7" t="s">
        <v>6</v>
      </c>
      <c r="D1037" s="10">
        <v>5</v>
      </c>
      <c r="E1037" s="8" t="s">
        <v>7</v>
      </c>
      <c r="F1037" s="12">
        <f>ROUND(C12*380,0)</f>
        <v>2440</v>
      </c>
      <c r="G1037" s="36"/>
      <c r="H1037" s="17"/>
    </row>
    <row r="1038" spans="2:8" s="1" customFormat="1" ht="14.25" thickBot="1" x14ac:dyDescent="0.2">
      <c r="B1038" s="34"/>
      <c r="C1038" s="18" t="s">
        <v>16</v>
      </c>
      <c r="D1038" s="19" t="s">
        <v>32</v>
      </c>
      <c r="E1038" s="20" t="s">
        <v>17</v>
      </c>
      <c r="F1038" s="21" t="s">
        <v>211</v>
      </c>
      <c r="G1038" s="22" t="s">
        <v>20</v>
      </c>
      <c r="H1038" s="23" t="s">
        <v>262</v>
      </c>
    </row>
    <row r="1039" spans="2:8" s="1" customFormat="1" x14ac:dyDescent="0.15">
      <c r="B1039" s="13" t="s">
        <v>1</v>
      </c>
      <c r="C1039" s="14" t="s">
        <v>0</v>
      </c>
      <c r="D1039" s="29" t="s">
        <v>361</v>
      </c>
      <c r="E1039" s="30"/>
      <c r="F1039" s="31"/>
      <c r="G1039" s="15" t="s">
        <v>57</v>
      </c>
      <c r="H1039" s="16" t="s">
        <v>41</v>
      </c>
    </row>
    <row r="1040" spans="2:8" s="1" customFormat="1" x14ac:dyDescent="0.15">
      <c r="B1040" s="32">
        <v>100209</v>
      </c>
      <c r="C1040" s="2" t="s">
        <v>2</v>
      </c>
      <c r="D1040" s="9">
        <f>ROUND(C12*815,0)</f>
        <v>5232</v>
      </c>
      <c r="E1040" s="3" t="s">
        <v>3</v>
      </c>
      <c r="F1040" s="11">
        <f>ROUND(C12*830,0)</f>
        <v>5329</v>
      </c>
      <c r="G1040" s="4" t="s">
        <v>8</v>
      </c>
      <c r="H1040" s="17" t="s">
        <v>25</v>
      </c>
    </row>
    <row r="1041" spans="2:8" s="1" customFormat="1" ht="13.5" customHeight="1" x14ac:dyDescent="0.15">
      <c r="B1041" s="33"/>
      <c r="C1041" s="5" t="s">
        <v>4</v>
      </c>
      <c r="D1041" s="9">
        <f>ROUND(C12*815,0)</f>
        <v>5232</v>
      </c>
      <c r="E1041" s="6" t="s">
        <v>5</v>
      </c>
      <c r="F1041" s="11">
        <f>ROUND(C12*830,0)</f>
        <v>5329</v>
      </c>
      <c r="G1041" s="35">
        <v>100</v>
      </c>
      <c r="H1041" s="17"/>
    </row>
    <row r="1042" spans="2:8" s="1" customFormat="1" ht="13.5" customHeight="1" x14ac:dyDescent="0.15">
      <c r="B1042" s="33"/>
      <c r="C1042" s="7" t="s">
        <v>6</v>
      </c>
      <c r="D1042" s="10">
        <v>5</v>
      </c>
      <c r="E1042" s="8" t="s">
        <v>7</v>
      </c>
      <c r="F1042" s="12">
        <f>ROUND(C12*380,0)</f>
        <v>2440</v>
      </c>
      <c r="G1042" s="36"/>
      <c r="H1042" s="17"/>
    </row>
    <row r="1043" spans="2:8" s="1" customFormat="1" ht="14.25" thickBot="1" x14ac:dyDescent="0.2">
      <c r="B1043" s="34"/>
      <c r="C1043" s="18" t="s">
        <v>16</v>
      </c>
      <c r="D1043" s="19" t="s">
        <v>392</v>
      </c>
      <c r="E1043" s="20" t="s">
        <v>17</v>
      </c>
      <c r="F1043" s="21" t="s">
        <v>71</v>
      </c>
      <c r="G1043" s="22" t="s">
        <v>20</v>
      </c>
      <c r="H1043" s="23" t="s">
        <v>37</v>
      </c>
    </row>
    <row r="1044" spans="2:8" s="1" customFormat="1" x14ac:dyDescent="0.15">
      <c r="B1044" s="13" t="s">
        <v>1</v>
      </c>
      <c r="C1044" s="14" t="s">
        <v>0</v>
      </c>
      <c r="D1044" s="29" t="s">
        <v>362</v>
      </c>
      <c r="E1044" s="30"/>
      <c r="F1044" s="31"/>
      <c r="G1044" s="15" t="s">
        <v>57</v>
      </c>
      <c r="H1044" s="16" t="s">
        <v>47</v>
      </c>
    </row>
    <row r="1045" spans="2:8" s="1" customFormat="1" x14ac:dyDescent="0.15">
      <c r="B1045" s="32">
        <v>100210</v>
      </c>
      <c r="C1045" s="2" t="s">
        <v>2</v>
      </c>
      <c r="D1045" s="9">
        <f>ROUND(C12*815,0)</f>
        <v>5232</v>
      </c>
      <c r="E1045" s="3" t="s">
        <v>3</v>
      </c>
      <c r="F1045" s="11">
        <f>ROUND(C12*830,0)</f>
        <v>5329</v>
      </c>
      <c r="G1045" s="4" t="s">
        <v>8</v>
      </c>
      <c r="H1045" s="17" t="s">
        <v>28</v>
      </c>
    </row>
    <row r="1046" spans="2:8" s="1" customFormat="1" ht="13.5" customHeight="1" x14ac:dyDescent="0.15">
      <c r="B1046" s="33"/>
      <c r="C1046" s="5" t="s">
        <v>4</v>
      </c>
      <c r="D1046" s="9">
        <f>ROUND(C12*815,0)</f>
        <v>5232</v>
      </c>
      <c r="E1046" s="6" t="s">
        <v>5</v>
      </c>
      <c r="F1046" s="11">
        <f>ROUND(C12*830,0)</f>
        <v>5329</v>
      </c>
      <c r="G1046" s="35">
        <v>50</v>
      </c>
      <c r="H1046" s="17"/>
    </row>
    <row r="1047" spans="2:8" s="1" customFormat="1" ht="13.5" customHeight="1" x14ac:dyDescent="0.15">
      <c r="B1047" s="33"/>
      <c r="C1047" s="7" t="s">
        <v>6</v>
      </c>
      <c r="D1047" s="10">
        <v>5</v>
      </c>
      <c r="E1047" s="8" t="s">
        <v>7</v>
      </c>
      <c r="F1047" s="12">
        <f>ROUND(C12*380,0)</f>
        <v>2440</v>
      </c>
      <c r="G1047" s="36"/>
      <c r="H1047" s="17"/>
    </row>
    <row r="1048" spans="2:8" s="1" customFormat="1" ht="14.25" thickBot="1" x14ac:dyDescent="0.2">
      <c r="B1048" s="34"/>
      <c r="C1048" s="18" t="s">
        <v>16</v>
      </c>
      <c r="D1048" s="19" t="s">
        <v>56</v>
      </c>
      <c r="E1048" s="20" t="s">
        <v>17</v>
      </c>
      <c r="F1048" s="21" t="s">
        <v>113</v>
      </c>
      <c r="G1048" s="22" t="s">
        <v>20</v>
      </c>
      <c r="H1048" s="23" t="s">
        <v>363</v>
      </c>
    </row>
    <row r="1049" spans="2:8" s="1" customFormat="1" x14ac:dyDescent="0.15">
      <c r="B1049" s="13" t="s">
        <v>1</v>
      </c>
      <c r="C1049" s="14" t="s">
        <v>0</v>
      </c>
      <c r="D1049" s="29" t="s">
        <v>364</v>
      </c>
      <c r="E1049" s="30"/>
      <c r="F1049" s="31"/>
      <c r="G1049" s="15" t="s">
        <v>57</v>
      </c>
      <c r="H1049" s="16" t="s">
        <v>35</v>
      </c>
    </row>
    <row r="1050" spans="2:8" s="1" customFormat="1" x14ac:dyDescent="0.15">
      <c r="B1050" s="32">
        <v>100211</v>
      </c>
      <c r="C1050" s="2" t="s">
        <v>2</v>
      </c>
      <c r="D1050" s="9">
        <f>ROUND(C12*800,0)</f>
        <v>5136</v>
      </c>
      <c r="E1050" s="3" t="s">
        <v>3</v>
      </c>
      <c r="F1050" s="11">
        <f>ROUND(C12*1700,0)</f>
        <v>10914</v>
      </c>
      <c r="G1050" s="4" t="s">
        <v>8</v>
      </c>
      <c r="H1050" s="17" t="s">
        <v>23</v>
      </c>
    </row>
    <row r="1051" spans="2:8" s="1" customFormat="1" ht="13.5" customHeight="1" x14ac:dyDescent="0.15">
      <c r="B1051" s="33"/>
      <c r="C1051" s="5" t="s">
        <v>4</v>
      </c>
      <c r="D1051" s="9">
        <f>ROUND(C12*800,0)</f>
        <v>5136</v>
      </c>
      <c r="E1051" s="6" t="s">
        <v>5</v>
      </c>
      <c r="F1051" s="11">
        <f>ROUND(C12*1700,0)</f>
        <v>10914</v>
      </c>
      <c r="G1051" s="35">
        <v>100</v>
      </c>
      <c r="H1051" s="17"/>
    </row>
    <row r="1052" spans="2:8" s="1" customFormat="1" ht="13.5" customHeight="1" x14ac:dyDescent="0.15">
      <c r="B1052" s="33"/>
      <c r="C1052" s="7" t="s">
        <v>6</v>
      </c>
      <c r="D1052" s="10">
        <v>3</v>
      </c>
      <c r="E1052" s="8" t="s">
        <v>7</v>
      </c>
      <c r="F1052" s="12">
        <f>ROUND(C12*380,0)</f>
        <v>2440</v>
      </c>
      <c r="G1052" s="36"/>
      <c r="H1052" s="17"/>
    </row>
    <row r="1053" spans="2:8" s="1" customFormat="1" ht="14.25" thickBot="1" x14ac:dyDescent="0.2">
      <c r="B1053" s="34"/>
      <c r="C1053" s="18" t="s">
        <v>16</v>
      </c>
      <c r="D1053" s="19" t="s">
        <v>405</v>
      </c>
      <c r="E1053" s="20" t="s">
        <v>17</v>
      </c>
      <c r="F1053" s="21" t="s">
        <v>56</v>
      </c>
      <c r="G1053" s="22" t="s">
        <v>20</v>
      </c>
      <c r="H1053" s="23" t="s">
        <v>37</v>
      </c>
    </row>
    <row r="1054" spans="2:8" s="1" customFormat="1" x14ac:dyDescent="0.15">
      <c r="B1054" s="13" t="s">
        <v>1</v>
      </c>
      <c r="C1054" s="14" t="s">
        <v>0</v>
      </c>
      <c r="D1054" s="29" t="s">
        <v>365</v>
      </c>
      <c r="E1054" s="30"/>
      <c r="F1054" s="31"/>
      <c r="G1054" s="15" t="s">
        <v>57</v>
      </c>
      <c r="H1054" s="16" t="s">
        <v>128</v>
      </c>
    </row>
    <row r="1055" spans="2:8" s="1" customFormat="1" x14ac:dyDescent="0.15">
      <c r="B1055" s="32">
        <v>100212</v>
      </c>
      <c r="C1055" s="2" t="s">
        <v>2</v>
      </c>
      <c r="D1055" s="9">
        <f>ROUND(C12*815,0)</f>
        <v>5232</v>
      </c>
      <c r="E1055" s="3" t="s">
        <v>3</v>
      </c>
      <c r="F1055" s="11">
        <f>ROUND(C12*830,0)</f>
        <v>5329</v>
      </c>
      <c r="G1055" s="4" t="s">
        <v>8</v>
      </c>
      <c r="H1055" s="17" t="s">
        <v>129</v>
      </c>
    </row>
    <row r="1056" spans="2:8" s="1" customFormat="1" ht="13.5" customHeight="1" x14ac:dyDescent="0.15">
      <c r="B1056" s="33"/>
      <c r="C1056" s="5" t="s">
        <v>4</v>
      </c>
      <c r="D1056" s="9">
        <f>ROUND(C12*815,0)</f>
        <v>5232</v>
      </c>
      <c r="E1056" s="6" t="s">
        <v>5</v>
      </c>
      <c r="F1056" s="11">
        <f>ROUND(C12*830,0)</f>
        <v>5329</v>
      </c>
      <c r="G1056" s="35">
        <v>100</v>
      </c>
      <c r="H1056" s="17"/>
    </row>
    <row r="1057" spans="2:8" s="1" customFormat="1" ht="13.5" customHeight="1" x14ac:dyDescent="0.15">
      <c r="B1057" s="33"/>
      <c r="C1057" s="7" t="s">
        <v>6</v>
      </c>
      <c r="D1057" s="10">
        <v>5</v>
      </c>
      <c r="E1057" s="8" t="s">
        <v>7</v>
      </c>
      <c r="F1057" s="12">
        <f>ROUND(C12*370,0)</f>
        <v>2375</v>
      </c>
      <c r="G1057" s="36"/>
      <c r="H1057" s="17"/>
    </row>
    <row r="1058" spans="2:8" s="1" customFormat="1" ht="14.25" thickBot="1" x14ac:dyDescent="0.2">
      <c r="B1058" s="34"/>
      <c r="C1058" s="18" t="s">
        <v>16</v>
      </c>
      <c r="D1058" s="19" t="s">
        <v>56</v>
      </c>
      <c r="E1058" s="20" t="s">
        <v>17</v>
      </c>
      <c r="F1058" s="21" t="s">
        <v>48</v>
      </c>
      <c r="G1058" s="22" t="s">
        <v>20</v>
      </c>
      <c r="H1058" s="23" t="s">
        <v>37</v>
      </c>
    </row>
    <row r="1059" spans="2:8" s="1" customFormat="1" x14ac:dyDescent="0.15">
      <c r="B1059" s="13" t="s">
        <v>1</v>
      </c>
      <c r="C1059" s="14" t="s">
        <v>0</v>
      </c>
      <c r="D1059" s="29" t="s">
        <v>366</v>
      </c>
      <c r="E1059" s="30"/>
      <c r="F1059" s="31"/>
      <c r="G1059" s="15" t="s">
        <v>57</v>
      </c>
      <c r="H1059" s="16" t="s">
        <v>77</v>
      </c>
    </row>
    <row r="1060" spans="2:8" s="1" customFormat="1" x14ac:dyDescent="0.15">
      <c r="B1060" s="32">
        <v>100213</v>
      </c>
      <c r="C1060" s="2" t="s">
        <v>2</v>
      </c>
      <c r="D1060" s="9">
        <f>ROUND(C12*800,0)</f>
        <v>5136</v>
      </c>
      <c r="E1060" s="3" t="s">
        <v>3</v>
      </c>
      <c r="F1060" s="11">
        <f>ROUND(C12*1700,0)</f>
        <v>10914</v>
      </c>
      <c r="G1060" s="4" t="s">
        <v>8</v>
      </c>
      <c r="H1060" s="17" t="s">
        <v>78</v>
      </c>
    </row>
    <row r="1061" spans="2:8" s="1" customFormat="1" ht="13.5" customHeight="1" x14ac:dyDescent="0.15">
      <c r="B1061" s="33"/>
      <c r="C1061" s="5" t="s">
        <v>4</v>
      </c>
      <c r="D1061" s="9">
        <f>ROUND(C12*800,0)</f>
        <v>5136</v>
      </c>
      <c r="E1061" s="6" t="s">
        <v>5</v>
      </c>
      <c r="F1061" s="11">
        <f>ROUND(C12*1700,0)</f>
        <v>10914</v>
      </c>
      <c r="G1061" s="35">
        <v>100</v>
      </c>
      <c r="H1061" s="17"/>
    </row>
    <row r="1062" spans="2:8" s="1" customFormat="1" ht="13.5" customHeight="1" x14ac:dyDescent="0.15">
      <c r="B1062" s="33"/>
      <c r="C1062" s="7" t="s">
        <v>6</v>
      </c>
      <c r="D1062" s="10">
        <v>3</v>
      </c>
      <c r="E1062" s="8" t="s">
        <v>7</v>
      </c>
      <c r="F1062" s="12">
        <f>ROUND(C12*500,0)</f>
        <v>3210</v>
      </c>
      <c r="G1062" s="36"/>
      <c r="H1062" s="17"/>
    </row>
    <row r="1063" spans="2:8" s="1" customFormat="1" ht="14.25" thickBot="1" x14ac:dyDescent="0.2">
      <c r="B1063" s="34"/>
      <c r="C1063" s="18" t="s">
        <v>16</v>
      </c>
      <c r="D1063" s="19" t="s">
        <v>51</v>
      </c>
      <c r="E1063" s="20" t="s">
        <v>17</v>
      </c>
      <c r="F1063" s="21" t="s">
        <v>71</v>
      </c>
      <c r="G1063" s="22" t="s">
        <v>20</v>
      </c>
      <c r="H1063" s="23" t="s">
        <v>37</v>
      </c>
    </row>
    <row r="1064" spans="2:8" s="1" customFormat="1" x14ac:dyDescent="0.15">
      <c r="B1064" s="13" t="s">
        <v>1</v>
      </c>
      <c r="C1064" s="14" t="s">
        <v>0</v>
      </c>
      <c r="D1064" s="29" t="s">
        <v>367</v>
      </c>
      <c r="E1064" s="30"/>
      <c r="F1064" s="31"/>
      <c r="G1064" s="15" t="s">
        <v>57</v>
      </c>
      <c r="H1064" s="16" t="s">
        <v>41</v>
      </c>
    </row>
    <row r="1065" spans="2:8" s="1" customFormat="1" x14ac:dyDescent="0.15">
      <c r="B1065" s="32">
        <v>100214</v>
      </c>
      <c r="C1065" s="2" t="s">
        <v>2</v>
      </c>
      <c r="D1065" s="9">
        <f>ROUND(C12*815,0)</f>
        <v>5232</v>
      </c>
      <c r="E1065" s="3" t="s">
        <v>3</v>
      </c>
      <c r="F1065" s="11">
        <f>ROUND(C12*830,0)</f>
        <v>5329</v>
      </c>
      <c r="G1065" s="4" t="s">
        <v>8</v>
      </c>
      <c r="H1065" s="17" t="s">
        <v>25</v>
      </c>
    </row>
    <row r="1066" spans="2:8" s="1" customFormat="1" ht="13.5" customHeight="1" x14ac:dyDescent="0.15">
      <c r="B1066" s="33"/>
      <c r="C1066" s="5" t="s">
        <v>4</v>
      </c>
      <c r="D1066" s="9">
        <f>ROUND(C12*815,0)</f>
        <v>5232</v>
      </c>
      <c r="E1066" s="6" t="s">
        <v>5</v>
      </c>
      <c r="F1066" s="11">
        <f>ROUND(C12*830,0)</f>
        <v>5329</v>
      </c>
      <c r="G1066" s="35">
        <v>100</v>
      </c>
      <c r="H1066" s="17"/>
    </row>
    <row r="1067" spans="2:8" s="1" customFormat="1" ht="13.5" customHeight="1" x14ac:dyDescent="0.15">
      <c r="B1067" s="33"/>
      <c r="C1067" s="7" t="s">
        <v>6</v>
      </c>
      <c r="D1067" s="10">
        <v>5</v>
      </c>
      <c r="E1067" s="8" t="s">
        <v>7</v>
      </c>
      <c r="F1067" s="12">
        <f>ROUND(C12*352,0)</f>
        <v>2260</v>
      </c>
      <c r="G1067" s="36"/>
      <c r="H1067" s="17"/>
    </row>
    <row r="1068" spans="2:8" s="1" customFormat="1" ht="14.25" thickBot="1" x14ac:dyDescent="0.2">
      <c r="B1068" s="34"/>
      <c r="C1068" s="18" t="s">
        <v>16</v>
      </c>
      <c r="D1068" s="19" t="s">
        <v>85</v>
      </c>
      <c r="E1068" s="20" t="s">
        <v>17</v>
      </c>
      <c r="F1068" s="21" t="s">
        <v>82</v>
      </c>
      <c r="G1068" s="22" t="s">
        <v>20</v>
      </c>
      <c r="H1068" s="23" t="s">
        <v>37</v>
      </c>
    </row>
    <row r="1069" spans="2:8" s="1" customFormat="1" x14ac:dyDescent="0.15">
      <c r="B1069" s="13" t="s">
        <v>1</v>
      </c>
      <c r="C1069" s="14" t="s">
        <v>0</v>
      </c>
      <c r="D1069" s="29" t="s">
        <v>368</v>
      </c>
      <c r="E1069" s="30"/>
      <c r="F1069" s="31"/>
      <c r="G1069" s="15" t="s">
        <v>57</v>
      </c>
      <c r="H1069" s="16" t="s">
        <v>146</v>
      </c>
    </row>
    <row r="1070" spans="2:8" s="1" customFormat="1" x14ac:dyDescent="0.15">
      <c r="B1070" s="32">
        <v>100215</v>
      </c>
      <c r="C1070" s="2" t="s">
        <v>2</v>
      </c>
      <c r="D1070" s="9">
        <f>ROUND(C12*815,0)</f>
        <v>5232</v>
      </c>
      <c r="E1070" s="3" t="s">
        <v>3</v>
      </c>
      <c r="F1070" s="11">
        <f>ROUND(C12*830,0)</f>
        <v>5329</v>
      </c>
      <c r="G1070" s="4" t="s">
        <v>8</v>
      </c>
      <c r="H1070" s="17" t="s">
        <v>147</v>
      </c>
    </row>
    <row r="1071" spans="2:8" s="1" customFormat="1" ht="13.5" customHeight="1" x14ac:dyDescent="0.15">
      <c r="B1071" s="33"/>
      <c r="C1071" s="5" t="s">
        <v>4</v>
      </c>
      <c r="D1071" s="9">
        <f>ROUND(C12*815,0)</f>
        <v>5232</v>
      </c>
      <c r="E1071" s="6" t="s">
        <v>5</v>
      </c>
      <c r="F1071" s="11">
        <f>ROUND(C12*830,0)</f>
        <v>5329</v>
      </c>
      <c r="G1071" s="35">
        <v>100</v>
      </c>
      <c r="H1071" s="17"/>
    </row>
    <row r="1072" spans="2:8" s="1" customFormat="1" ht="13.5" customHeight="1" x14ac:dyDescent="0.15">
      <c r="B1072" s="33"/>
      <c r="C1072" s="7" t="s">
        <v>6</v>
      </c>
      <c r="D1072" s="10">
        <v>5</v>
      </c>
      <c r="E1072" s="8" t="s">
        <v>7</v>
      </c>
      <c r="F1072" s="12">
        <f>ROUND(C12*475,0)</f>
        <v>3050</v>
      </c>
      <c r="G1072" s="36"/>
      <c r="H1072" s="17"/>
    </row>
    <row r="1073" spans="2:8" s="1" customFormat="1" ht="14.25" thickBot="1" x14ac:dyDescent="0.2">
      <c r="B1073" s="34"/>
      <c r="C1073" s="18" t="s">
        <v>16</v>
      </c>
      <c r="D1073" s="19" t="s">
        <v>56</v>
      </c>
      <c r="E1073" s="20" t="s">
        <v>17</v>
      </c>
      <c r="F1073" s="21" t="s">
        <v>113</v>
      </c>
      <c r="G1073" s="22" t="s">
        <v>20</v>
      </c>
      <c r="H1073" s="23" t="s">
        <v>37</v>
      </c>
    </row>
    <row r="1074" spans="2:8" s="1" customFormat="1" x14ac:dyDescent="0.15">
      <c r="B1074" s="13" t="s">
        <v>1</v>
      </c>
      <c r="C1074" s="14" t="s">
        <v>0</v>
      </c>
      <c r="D1074" s="29" t="s">
        <v>369</v>
      </c>
      <c r="E1074" s="30"/>
      <c r="F1074" s="31"/>
      <c r="G1074" s="15" t="s">
        <v>57</v>
      </c>
      <c r="H1074" s="16" t="s">
        <v>50</v>
      </c>
    </row>
    <row r="1075" spans="2:8" s="1" customFormat="1" x14ac:dyDescent="0.15">
      <c r="B1075" s="32">
        <v>100216</v>
      </c>
      <c r="C1075" s="2" t="s">
        <v>2</v>
      </c>
      <c r="D1075" s="9">
        <f>ROUND(C12*800,0)</f>
        <v>5136</v>
      </c>
      <c r="E1075" s="3" t="s">
        <v>3</v>
      </c>
      <c r="F1075" s="11">
        <f>ROUND(C12*1700,0)</f>
        <v>10914</v>
      </c>
      <c r="G1075" s="4" t="s">
        <v>8</v>
      </c>
      <c r="H1075" s="17" t="s">
        <v>29</v>
      </c>
    </row>
    <row r="1076" spans="2:8" s="1" customFormat="1" ht="13.5" customHeight="1" x14ac:dyDescent="0.15">
      <c r="B1076" s="33"/>
      <c r="C1076" s="5" t="s">
        <v>4</v>
      </c>
      <c r="D1076" s="9">
        <f>ROUND(C12*800,0)</f>
        <v>5136</v>
      </c>
      <c r="E1076" s="6" t="s">
        <v>5</v>
      </c>
      <c r="F1076" s="11">
        <f>ROUND(C12*1700,0)</f>
        <v>10914</v>
      </c>
      <c r="G1076" s="35">
        <v>100</v>
      </c>
      <c r="H1076" s="17"/>
    </row>
    <row r="1077" spans="2:8" s="1" customFormat="1" ht="13.5" customHeight="1" x14ac:dyDescent="0.15">
      <c r="B1077" s="33"/>
      <c r="C1077" s="7" t="s">
        <v>6</v>
      </c>
      <c r="D1077" s="10">
        <v>3</v>
      </c>
      <c r="E1077" s="8" t="s">
        <v>7</v>
      </c>
      <c r="F1077" s="12">
        <f>ROUND(C12*486,0)</f>
        <v>3120</v>
      </c>
      <c r="G1077" s="36"/>
      <c r="H1077" s="17"/>
    </row>
    <row r="1078" spans="2:8" s="1" customFormat="1" ht="14.25" thickBot="1" x14ac:dyDescent="0.2">
      <c r="B1078" s="34"/>
      <c r="C1078" s="18" t="s">
        <v>16</v>
      </c>
      <c r="D1078" s="19" t="s">
        <v>93</v>
      </c>
      <c r="E1078" s="20" t="s">
        <v>17</v>
      </c>
      <c r="F1078" s="21" t="s">
        <v>113</v>
      </c>
      <c r="G1078" s="22" t="s">
        <v>20</v>
      </c>
      <c r="H1078" s="23" t="s">
        <v>37</v>
      </c>
    </row>
    <row r="1079" spans="2:8" s="1" customFormat="1" x14ac:dyDescent="0.15">
      <c r="B1079" s="13" t="s">
        <v>1</v>
      </c>
      <c r="C1079" s="14" t="s">
        <v>0</v>
      </c>
      <c r="D1079" s="29" t="s">
        <v>370</v>
      </c>
      <c r="E1079" s="30"/>
      <c r="F1079" s="31"/>
      <c r="G1079" s="15" t="s">
        <v>57</v>
      </c>
      <c r="H1079" s="16" t="s">
        <v>88</v>
      </c>
    </row>
    <row r="1080" spans="2:8" s="1" customFormat="1" x14ac:dyDescent="0.15">
      <c r="B1080" s="32">
        <v>100217</v>
      </c>
      <c r="C1080" s="2" t="s">
        <v>2</v>
      </c>
      <c r="D1080" s="9">
        <f>ROUND(C12*815,0)</f>
        <v>5232</v>
      </c>
      <c r="E1080" s="3" t="s">
        <v>3</v>
      </c>
      <c r="F1080" s="11">
        <f>ROUND(C12*830,0)</f>
        <v>5329</v>
      </c>
      <c r="G1080" s="4" t="s">
        <v>8</v>
      </c>
      <c r="H1080" s="17" t="s">
        <v>89</v>
      </c>
    </row>
    <row r="1081" spans="2:8" s="1" customFormat="1" ht="13.5" customHeight="1" x14ac:dyDescent="0.15">
      <c r="B1081" s="33"/>
      <c r="C1081" s="5" t="s">
        <v>4</v>
      </c>
      <c r="D1081" s="9">
        <f>ROUND(C12*815,0)</f>
        <v>5232</v>
      </c>
      <c r="E1081" s="6" t="s">
        <v>5</v>
      </c>
      <c r="F1081" s="11">
        <f>ROUND(C12*830,0)</f>
        <v>5329</v>
      </c>
      <c r="G1081" s="35">
        <v>50</v>
      </c>
      <c r="H1081" s="17"/>
    </row>
    <row r="1082" spans="2:8" s="1" customFormat="1" ht="13.5" customHeight="1" x14ac:dyDescent="0.15">
      <c r="B1082" s="33"/>
      <c r="C1082" s="7" t="s">
        <v>6</v>
      </c>
      <c r="D1082" s="10">
        <v>5</v>
      </c>
      <c r="E1082" s="8" t="s">
        <v>7</v>
      </c>
      <c r="F1082" s="12">
        <f>ROUND(C12*510,0)</f>
        <v>3274</v>
      </c>
      <c r="G1082" s="36"/>
      <c r="H1082" s="17"/>
    </row>
    <row r="1083" spans="2:8" s="1" customFormat="1" ht="14.25" thickBot="1" x14ac:dyDescent="0.2">
      <c r="B1083" s="34"/>
      <c r="C1083" s="18" t="s">
        <v>16</v>
      </c>
      <c r="D1083" s="19" t="s">
        <v>396</v>
      </c>
      <c r="E1083" s="20" t="s">
        <v>17</v>
      </c>
      <c r="F1083" s="21" t="s">
        <v>93</v>
      </c>
      <c r="G1083" s="22" t="s">
        <v>20</v>
      </c>
      <c r="H1083" s="23" t="s">
        <v>106</v>
      </c>
    </row>
    <row r="1084" spans="2:8" s="1" customFormat="1" x14ac:dyDescent="0.15">
      <c r="B1084" s="13" t="s">
        <v>1</v>
      </c>
      <c r="C1084" s="14" t="s">
        <v>0</v>
      </c>
      <c r="D1084" s="29" t="s">
        <v>373</v>
      </c>
      <c r="E1084" s="30"/>
      <c r="F1084" s="31"/>
      <c r="G1084" s="15" t="s">
        <v>57</v>
      </c>
      <c r="H1084" s="16" t="s">
        <v>116</v>
      </c>
    </row>
    <row r="1085" spans="2:8" s="1" customFormat="1" x14ac:dyDescent="0.15">
      <c r="B1085" s="32">
        <v>100218</v>
      </c>
      <c r="C1085" s="2" t="s">
        <v>2</v>
      </c>
      <c r="D1085" s="9">
        <f>ROUND(C12*815,0)</f>
        <v>5232</v>
      </c>
      <c r="E1085" s="3" t="s">
        <v>3</v>
      </c>
      <c r="F1085" s="11">
        <f>ROUND(C12*830,0)</f>
        <v>5329</v>
      </c>
      <c r="G1085" s="4" t="s">
        <v>8</v>
      </c>
      <c r="H1085" s="17" t="s">
        <v>117</v>
      </c>
    </row>
    <row r="1086" spans="2:8" s="1" customFormat="1" ht="13.5" customHeight="1" x14ac:dyDescent="0.15">
      <c r="B1086" s="33"/>
      <c r="C1086" s="5" t="s">
        <v>4</v>
      </c>
      <c r="D1086" s="9">
        <f>ROUND(C12*815,0)</f>
        <v>5232</v>
      </c>
      <c r="E1086" s="6" t="s">
        <v>5</v>
      </c>
      <c r="F1086" s="11">
        <f>ROUND(C12*830,0)</f>
        <v>5329</v>
      </c>
      <c r="G1086" s="35">
        <v>100</v>
      </c>
      <c r="H1086" s="17"/>
    </row>
    <row r="1087" spans="2:8" s="1" customFormat="1" ht="13.5" customHeight="1" x14ac:dyDescent="0.15">
      <c r="B1087" s="33"/>
      <c r="C1087" s="7" t="s">
        <v>6</v>
      </c>
      <c r="D1087" s="10">
        <v>5</v>
      </c>
      <c r="E1087" s="8" t="s">
        <v>7</v>
      </c>
      <c r="F1087" s="12">
        <f>ROUND(C12*355,0)</f>
        <v>2279</v>
      </c>
      <c r="G1087" s="36"/>
      <c r="H1087" s="17"/>
    </row>
    <row r="1088" spans="2:8" s="1" customFormat="1" ht="14.25" thickBot="1" x14ac:dyDescent="0.2">
      <c r="B1088" s="34"/>
      <c r="C1088" s="18" t="s">
        <v>16</v>
      </c>
      <c r="D1088" s="19" t="s">
        <v>45</v>
      </c>
      <c r="E1088" s="20" t="s">
        <v>17</v>
      </c>
      <c r="F1088" s="21" t="s">
        <v>48</v>
      </c>
      <c r="G1088" s="22" t="s">
        <v>20</v>
      </c>
      <c r="H1088" s="23" t="s">
        <v>37</v>
      </c>
    </row>
    <row r="1089" spans="2:8" s="1" customFormat="1" x14ac:dyDescent="0.15">
      <c r="B1089" s="13" t="s">
        <v>1</v>
      </c>
      <c r="C1089" s="14" t="s">
        <v>0</v>
      </c>
      <c r="D1089" s="29" t="s">
        <v>374</v>
      </c>
      <c r="E1089" s="30"/>
      <c r="F1089" s="31"/>
      <c r="G1089" s="15" t="s">
        <v>57</v>
      </c>
      <c r="H1089" s="16" t="s">
        <v>55</v>
      </c>
    </row>
    <row r="1090" spans="2:8" s="1" customFormat="1" x14ac:dyDescent="0.15">
      <c r="B1090" s="32">
        <v>100219</v>
      </c>
      <c r="C1090" s="2" t="s">
        <v>2</v>
      </c>
      <c r="D1090" s="9">
        <f>ROUND(C12*815,0)</f>
        <v>5232</v>
      </c>
      <c r="E1090" s="3" t="s">
        <v>3</v>
      </c>
      <c r="F1090" s="11">
        <f>ROUND(C12*830,0)</f>
        <v>5329</v>
      </c>
      <c r="G1090" s="4" t="s">
        <v>8</v>
      </c>
      <c r="H1090" s="17" t="s">
        <v>30</v>
      </c>
    </row>
    <row r="1091" spans="2:8" s="1" customFormat="1" ht="13.5" customHeight="1" x14ac:dyDescent="0.15">
      <c r="B1091" s="33"/>
      <c r="C1091" s="5" t="s">
        <v>4</v>
      </c>
      <c r="D1091" s="9">
        <f>ROUND(C12*815,0)</f>
        <v>5232</v>
      </c>
      <c r="E1091" s="6" t="s">
        <v>5</v>
      </c>
      <c r="F1091" s="11">
        <f>ROUND(C12*830,0)</f>
        <v>5329</v>
      </c>
      <c r="G1091" s="35">
        <v>100</v>
      </c>
      <c r="H1091" s="17"/>
    </row>
    <row r="1092" spans="2:8" s="1" customFormat="1" ht="13.5" customHeight="1" x14ac:dyDescent="0.15">
      <c r="B1092" s="33"/>
      <c r="C1092" s="7" t="s">
        <v>6</v>
      </c>
      <c r="D1092" s="10">
        <v>5</v>
      </c>
      <c r="E1092" s="8" t="s">
        <v>7</v>
      </c>
      <c r="F1092" s="12">
        <f>ROUND(C12*382,0)</f>
        <v>2452</v>
      </c>
      <c r="G1092" s="36"/>
      <c r="H1092" s="17"/>
    </row>
    <row r="1093" spans="2:8" s="1" customFormat="1" ht="14.25" thickBot="1" x14ac:dyDescent="0.2">
      <c r="B1093" s="34"/>
      <c r="C1093" s="18" t="s">
        <v>16</v>
      </c>
      <c r="D1093" s="19" t="s">
        <v>54</v>
      </c>
      <c r="E1093" s="20" t="s">
        <v>17</v>
      </c>
      <c r="F1093" s="21" t="s">
        <v>421</v>
      </c>
      <c r="G1093" s="22" t="s">
        <v>20</v>
      </c>
      <c r="H1093" s="23" t="s">
        <v>37</v>
      </c>
    </row>
    <row r="1094" spans="2:8" s="1" customFormat="1" x14ac:dyDescent="0.15">
      <c r="B1094" s="13" t="s">
        <v>1</v>
      </c>
      <c r="C1094" s="14" t="s">
        <v>0</v>
      </c>
      <c r="D1094" s="29" t="s">
        <v>375</v>
      </c>
      <c r="E1094" s="30"/>
      <c r="F1094" s="31"/>
      <c r="G1094" s="15" t="s">
        <v>57</v>
      </c>
      <c r="H1094" s="16" t="s">
        <v>80</v>
      </c>
    </row>
    <row r="1095" spans="2:8" s="1" customFormat="1" x14ac:dyDescent="0.15">
      <c r="B1095" s="32">
        <v>100220</v>
      </c>
      <c r="C1095" s="2" t="s">
        <v>2</v>
      </c>
      <c r="D1095" s="9">
        <f>ROUND(C12*800,0)</f>
        <v>5136</v>
      </c>
      <c r="E1095" s="3" t="s">
        <v>3</v>
      </c>
      <c r="F1095" s="11">
        <f>ROUND(C12*1700,0)</f>
        <v>10914</v>
      </c>
      <c r="G1095" s="4" t="s">
        <v>8</v>
      </c>
      <c r="H1095" s="17" t="s">
        <v>81</v>
      </c>
    </row>
    <row r="1096" spans="2:8" s="1" customFormat="1" ht="13.5" customHeight="1" x14ac:dyDescent="0.15">
      <c r="B1096" s="33"/>
      <c r="C1096" s="5" t="s">
        <v>4</v>
      </c>
      <c r="D1096" s="9">
        <f>ROUND(C12*800,0)</f>
        <v>5136</v>
      </c>
      <c r="E1096" s="6" t="s">
        <v>5</v>
      </c>
      <c r="F1096" s="11">
        <f>ROUND(C12*1700,0)</f>
        <v>10914</v>
      </c>
      <c r="G1096" s="35">
        <v>100</v>
      </c>
      <c r="H1096" s="17"/>
    </row>
    <row r="1097" spans="2:8" s="1" customFormat="1" ht="13.5" customHeight="1" x14ac:dyDescent="0.15">
      <c r="B1097" s="33"/>
      <c r="C1097" s="7" t="s">
        <v>6</v>
      </c>
      <c r="D1097" s="10">
        <v>3</v>
      </c>
      <c r="E1097" s="8" t="s">
        <v>7</v>
      </c>
      <c r="F1097" s="12">
        <f>ROUND(C12*399,0)</f>
        <v>2562</v>
      </c>
      <c r="G1097" s="36"/>
      <c r="H1097" s="17"/>
    </row>
    <row r="1098" spans="2:8" s="1" customFormat="1" ht="14.25" thickBot="1" x14ac:dyDescent="0.2">
      <c r="B1098" s="34"/>
      <c r="C1098" s="18" t="s">
        <v>16</v>
      </c>
      <c r="D1098" s="19" t="s">
        <v>294</v>
      </c>
      <c r="E1098" s="20" t="s">
        <v>17</v>
      </c>
      <c r="F1098" s="21" t="s">
        <v>113</v>
      </c>
      <c r="G1098" s="22" t="s">
        <v>20</v>
      </c>
      <c r="H1098" s="23" t="s">
        <v>37</v>
      </c>
    </row>
    <row r="1099" spans="2:8" s="1" customFormat="1" x14ac:dyDescent="0.15">
      <c r="B1099" s="13" t="s">
        <v>1</v>
      </c>
      <c r="C1099" s="14" t="s">
        <v>0</v>
      </c>
      <c r="D1099" s="29" t="s">
        <v>378</v>
      </c>
      <c r="E1099" s="30"/>
      <c r="F1099" s="31"/>
      <c r="G1099" s="15" t="s">
        <v>57</v>
      </c>
      <c r="H1099" s="16" t="s">
        <v>38</v>
      </c>
    </row>
    <row r="1100" spans="2:8" s="1" customFormat="1" x14ac:dyDescent="0.15">
      <c r="B1100" s="32">
        <v>100221</v>
      </c>
      <c r="C1100" s="2" t="s">
        <v>2</v>
      </c>
      <c r="D1100" s="9">
        <f>ROUND(C12*815,0)</f>
        <v>5232</v>
      </c>
      <c r="E1100" s="3" t="s">
        <v>3</v>
      </c>
      <c r="F1100" s="11">
        <f>ROUND(C12*830,0)</f>
        <v>5329</v>
      </c>
      <c r="G1100" s="4" t="s">
        <v>8</v>
      </c>
      <c r="H1100" s="17" t="s">
        <v>24</v>
      </c>
    </row>
    <row r="1101" spans="2:8" s="1" customFormat="1" ht="13.5" customHeight="1" x14ac:dyDescent="0.15">
      <c r="B1101" s="33"/>
      <c r="C1101" s="5" t="s">
        <v>4</v>
      </c>
      <c r="D1101" s="9">
        <f>ROUND(C12*815,0)</f>
        <v>5232</v>
      </c>
      <c r="E1101" s="6" t="s">
        <v>5</v>
      </c>
      <c r="F1101" s="11">
        <f>ROUND(C12*830,0)</f>
        <v>5329</v>
      </c>
      <c r="G1101" s="35">
        <v>50</v>
      </c>
      <c r="H1101" s="17"/>
    </row>
    <row r="1102" spans="2:8" s="1" customFormat="1" ht="13.5" customHeight="1" x14ac:dyDescent="0.15">
      <c r="B1102" s="33"/>
      <c r="C1102" s="7" t="s">
        <v>6</v>
      </c>
      <c r="D1102" s="10">
        <v>5</v>
      </c>
      <c r="E1102" s="8" t="s">
        <v>7</v>
      </c>
      <c r="F1102" s="12">
        <f>ROUND(C12*388,0)</f>
        <v>2491</v>
      </c>
      <c r="G1102" s="36"/>
      <c r="H1102" s="17"/>
    </row>
    <row r="1103" spans="2:8" s="1" customFormat="1" ht="14.25" thickBot="1" x14ac:dyDescent="0.2">
      <c r="B1103" s="34"/>
      <c r="C1103" s="18" t="s">
        <v>16</v>
      </c>
      <c r="D1103" s="19" t="s">
        <v>82</v>
      </c>
      <c r="E1103" s="20" t="s">
        <v>17</v>
      </c>
      <c r="F1103" s="21" t="s">
        <v>32</v>
      </c>
      <c r="G1103" s="22" t="s">
        <v>20</v>
      </c>
      <c r="H1103" s="23" t="s">
        <v>106</v>
      </c>
    </row>
    <row r="1104" spans="2:8" s="1" customFormat="1" x14ac:dyDescent="0.15">
      <c r="B1104" s="13" t="s">
        <v>1</v>
      </c>
      <c r="C1104" s="14" t="s">
        <v>0</v>
      </c>
      <c r="D1104" s="29" t="s">
        <v>379</v>
      </c>
      <c r="E1104" s="30"/>
      <c r="F1104" s="31"/>
      <c r="G1104" s="15" t="s">
        <v>57</v>
      </c>
      <c r="H1104" s="16" t="s">
        <v>341</v>
      </c>
    </row>
    <row r="1105" spans="2:8" s="1" customFormat="1" x14ac:dyDescent="0.15">
      <c r="B1105" s="32">
        <v>100222</v>
      </c>
      <c r="C1105" s="2" t="s">
        <v>2</v>
      </c>
      <c r="D1105" s="9">
        <f>ROUND(C12*815,0)</f>
        <v>5232</v>
      </c>
      <c r="E1105" s="3" t="s">
        <v>3</v>
      </c>
      <c r="F1105" s="11">
        <f>ROUND(C12*830,0)</f>
        <v>5329</v>
      </c>
      <c r="G1105" s="4" t="s">
        <v>8</v>
      </c>
      <c r="H1105" s="17" t="s">
        <v>144</v>
      </c>
    </row>
    <row r="1106" spans="2:8" s="1" customFormat="1" ht="13.5" customHeight="1" x14ac:dyDescent="0.15">
      <c r="B1106" s="33"/>
      <c r="C1106" s="5" t="s">
        <v>4</v>
      </c>
      <c r="D1106" s="9">
        <f>ROUND(C12*815,0)</f>
        <v>5232</v>
      </c>
      <c r="E1106" s="6" t="s">
        <v>5</v>
      </c>
      <c r="F1106" s="11">
        <f>ROUND(C12*830,0)</f>
        <v>5329</v>
      </c>
      <c r="G1106" s="35">
        <v>50</v>
      </c>
      <c r="H1106" s="17"/>
    </row>
    <row r="1107" spans="2:8" s="1" customFormat="1" ht="13.5" customHeight="1" x14ac:dyDescent="0.15">
      <c r="B1107" s="33"/>
      <c r="C1107" s="7" t="s">
        <v>6</v>
      </c>
      <c r="D1107" s="10">
        <v>5</v>
      </c>
      <c r="E1107" s="8" t="s">
        <v>7</v>
      </c>
      <c r="F1107" s="12">
        <f>ROUND(C12*438,0)</f>
        <v>2812</v>
      </c>
      <c r="G1107" s="36"/>
      <c r="H1107" s="17"/>
    </row>
    <row r="1108" spans="2:8" s="1" customFormat="1" ht="14.25" thickBot="1" x14ac:dyDescent="0.2">
      <c r="B1108" s="34"/>
      <c r="C1108" s="18" t="s">
        <v>16</v>
      </c>
      <c r="D1108" s="19" t="s">
        <v>85</v>
      </c>
      <c r="E1108" s="20" t="s">
        <v>17</v>
      </c>
      <c r="F1108" s="21" t="s">
        <v>405</v>
      </c>
      <c r="G1108" s="22" t="s">
        <v>20</v>
      </c>
      <c r="H1108" s="23" t="s">
        <v>349</v>
      </c>
    </row>
    <row r="1109" spans="2:8" s="1" customFormat="1" x14ac:dyDescent="0.15">
      <c r="B1109" s="13" t="s">
        <v>1</v>
      </c>
      <c r="C1109" s="14" t="s">
        <v>0</v>
      </c>
      <c r="D1109" s="29" t="s">
        <v>381</v>
      </c>
      <c r="E1109" s="30"/>
      <c r="F1109" s="31"/>
      <c r="G1109" s="15" t="s">
        <v>57</v>
      </c>
      <c r="H1109" s="16" t="s">
        <v>74</v>
      </c>
    </row>
    <row r="1110" spans="2:8" s="1" customFormat="1" x14ac:dyDescent="0.15">
      <c r="B1110" s="32">
        <v>100223</v>
      </c>
      <c r="C1110" s="2" t="s">
        <v>2</v>
      </c>
      <c r="D1110" s="9">
        <f>ROUND(C12*800,0)</f>
        <v>5136</v>
      </c>
      <c r="E1110" s="3" t="s">
        <v>3</v>
      </c>
      <c r="F1110" s="11">
        <f>ROUND(C12*1700,0)</f>
        <v>10914</v>
      </c>
      <c r="G1110" s="4" t="s">
        <v>8</v>
      </c>
      <c r="H1110" s="17" t="s">
        <v>75</v>
      </c>
    </row>
    <row r="1111" spans="2:8" s="1" customFormat="1" ht="13.5" customHeight="1" x14ac:dyDescent="0.15">
      <c r="B1111" s="33"/>
      <c r="C1111" s="5" t="s">
        <v>4</v>
      </c>
      <c r="D1111" s="9">
        <f>ROUND(C12*800,0)</f>
        <v>5136</v>
      </c>
      <c r="E1111" s="6" t="s">
        <v>5</v>
      </c>
      <c r="F1111" s="11">
        <f>ROUND(C12*1700,0)</f>
        <v>10914</v>
      </c>
      <c r="G1111" s="35">
        <v>100</v>
      </c>
      <c r="H1111" s="17"/>
    </row>
    <row r="1112" spans="2:8" s="1" customFormat="1" ht="13.5" customHeight="1" x14ac:dyDescent="0.15">
      <c r="B1112" s="33"/>
      <c r="C1112" s="7" t="s">
        <v>6</v>
      </c>
      <c r="D1112" s="10">
        <v>3</v>
      </c>
      <c r="E1112" s="8" t="s">
        <v>7</v>
      </c>
      <c r="F1112" s="12">
        <f>ROUND(C12*427,0)</f>
        <v>2741</v>
      </c>
      <c r="G1112" s="36"/>
      <c r="H1112" s="17"/>
    </row>
    <row r="1113" spans="2:8" s="1" customFormat="1" ht="14.25" thickBot="1" x14ac:dyDescent="0.2">
      <c r="B1113" s="34"/>
      <c r="C1113" s="18" t="s">
        <v>16</v>
      </c>
      <c r="D1113" s="19" t="s">
        <v>71</v>
      </c>
      <c r="E1113" s="20" t="s">
        <v>17</v>
      </c>
      <c r="F1113" s="21" t="s">
        <v>33</v>
      </c>
      <c r="G1113" s="22" t="s">
        <v>20</v>
      </c>
      <c r="H1113" s="23" t="s">
        <v>37</v>
      </c>
    </row>
    <row r="1114" spans="2:8" s="1" customFormat="1" x14ac:dyDescent="0.15">
      <c r="B1114" s="13" t="s">
        <v>1</v>
      </c>
      <c r="C1114" s="14" t="s">
        <v>0</v>
      </c>
      <c r="D1114" s="29" t="s">
        <v>383</v>
      </c>
      <c r="E1114" s="30"/>
      <c r="F1114" s="31"/>
      <c r="G1114" s="15" t="s">
        <v>57</v>
      </c>
      <c r="H1114" s="16" t="s">
        <v>134</v>
      </c>
    </row>
    <row r="1115" spans="2:8" s="1" customFormat="1" x14ac:dyDescent="0.15">
      <c r="B1115" s="32">
        <v>100224</v>
      </c>
      <c r="C1115" s="2" t="s">
        <v>2</v>
      </c>
      <c r="D1115" s="9">
        <f>ROUND(C12*815,0)</f>
        <v>5232</v>
      </c>
      <c r="E1115" s="3" t="s">
        <v>3</v>
      </c>
      <c r="F1115" s="11">
        <f>ROUND(C12*830,0)</f>
        <v>5329</v>
      </c>
      <c r="G1115" s="4" t="s">
        <v>8</v>
      </c>
      <c r="H1115" s="17" t="s">
        <v>135</v>
      </c>
    </row>
    <row r="1116" spans="2:8" s="1" customFormat="1" ht="13.5" customHeight="1" x14ac:dyDescent="0.15">
      <c r="B1116" s="33"/>
      <c r="C1116" s="5" t="s">
        <v>4</v>
      </c>
      <c r="D1116" s="9">
        <f>ROUND(C12*815,0)</f>
        <v>5232</v>
      </c>
      <c r="E1116" s="6" t="s">
        <v>5</v>
      </c>
      <c r="F1116" s="11">
        <f>ROUND(C12*830,0)</f>
        <v>5329</v>
      </c>
      <c r="G1116" s="35">
        <v>50</v>
      </c>
      <c r="H1116" s="17"/>
    </row>
    <row r="1117" spans="2:8" s="1" customFormat="1" ht="13.5" customHeight="1" x14ac:dyDescent="0.15">
      <c r="B1117" s="33"/>
      <c r="C1117" s="7" t="s">
        <v>6</v>
      </c>
      <c r="D1117" s="10">
        <v>5</v>
      </c>
      <c r="E1117" s="8" t="s">
        <v>7</v>
      </c>
      <c r="F1117" s="12">
        <f>ROUND(C12*510,0)</f>
        <v>3274</v>
      </c>
      <c r="G1117" s="36"/>
      <c r="H1117" s="17"/>
    </row>
    <row r="1118" spans="2:8" s="1" customFormat="1" ht="14.25" thickBot="1" x14ac:dyDescent="0.2">
      <c r="B1118" s="34"/>
      <c r="C1118" s="18" t="s">
        <v>16</v>
      </c>
      <c r="D1118" s="19" t="s">
        <v>113</v>
      </c>
      <c r="E1118" s="20" t="s">
        <v>17</v>
      </c>
      <c r="F1118" s="21" t="s">
        <v>100</v>
      </c>
      <c r="G1118" s="22" t="s">
        <v>20</v>
      </c>
      <c r="H1118" s="23" t="s">
        <v>125</v>
      </c>
    </row>
    <row r="1119" spans="2:8" s="1" customFormat="1" x14ac:dyDescent="0.15">
      <c r="B1119" s="13" t="s">
        <v>1</v>
      </c>
      <c r="C1119" s="14" t="s">
        <v>0</v>
      </c>
      <c r="D1119" s="29" t="s">
        <v>384</v>
      </c>
      <c r="E1119" s="30"/>
      <c r="F1119" s="31"/>
      <c r="G1119" s="15" t="s">
        <v>57</v>
      </c>
      <c r="H1119" s="16" t="s">
        <v>163</v>
      </c>
    </row>
    <row r="1120" spans="2:8" s="1" customFormat="1" x14ac:dyDescent="0.15">
      <c r="B1120" s="32">
        <v>100225</v>
      </c>
      <c r="C1120" s="2" t="s">
        <v>2</v>
      </c>
      <c r="D1120" s="9">
        <f>ROUND(C12*815,0)</f>
        <v>5232</v>
      </c>
      <c r="E1120" s="3" t="s">
        <v>3</v>
      </c>
      <c r="F1120" s="11">
        <f>ROUND(C12*830,0)</f>
        <v>5329</v>
      </c>
      <c r="G1120" s="4" t="s">
        <v>8</v>
      </c>
      <c r="H1120" s="17" t="s">
        <v>164</v>
      </c>
    </row>
    <row r="1121" spans="2:8" s="1" customFormat="1" ht="13.5" customHeight="1" x14ac:dyDescent="0.15">
      <c r="B1121" s="33"/>
      <c r="C1121" s="5" t="s">
        <v>4</v>
      </c>
      <c r="D1121" s="9">
        <f>ROUND(C12*815,0)</f>
        <v>5232</v>
      </c>
      <c r="E1121" s="6" t="s">
        <v>5</v>
      </c>
      <c r="F1121" s="11">
        <f>ROUND(C12*830,0)</f>
        <v>5329</v>
      </c>
      <c r="G1121" s="35">
        <v>50</v>
      </c>
      <c r="H1121" s="17"/>
    </row>
    <row r="1122" spans="2:8" s="1" customFormat="1" ht="13.5" customHeight="1" x14ac:dyDescent="0.15">
      <c r="B1122" s="33"/>
      <c r="C1122" s="7" t="s">
        <v>6</v>
      </c>
      <c r="D1122" s="10">
        <v>5</v>
      </c>
      <c r="E1122" s="8" t="s">
        <v>7</v>
      </c>
      <c r="F1122" s="12">
        <f>ROUND(C12*487,0)</f>
        <v>3127</v>
      </c>
      <c r="G1122" s="36"/>
      <c r="H1122" s="17"/>
    </row>
    <row r="1123" spans="2:8" s="1" customFormat="1" ht="14.25" thickBot="1" x14ac:dyDescent="0.2">
      <c r="B1123" s="34"/>
      <c r="C1123" s="18" t="s">
        <v>16</v>
      </c>
      <c r="D1123" s="19" t="s">
        <v>293</v>
      </c>
      <c r="E1123" s="20" t="s">
        <v>17</v>
      </c>
      <c r="F1123" s="21" t="s">
        <v>51</v>
      </c>
      <c r="G1123" s="22" t="s">
        <v>20</v>
      </c>
      <c r="H1123" s="23" t="s">
        <v>37</v>
      </c>
    </row>
    <row r="1124" spans="2:8" s="1" customFormat="1" x14ac:dyDescent="0.15">
      <c r="B1124" s="13" t="s">
        <v>1</v>
      </c>
      <c r="C1124" s="14" t="s">
        <v>0</v>
      </c>
      <c r="D1124" s="29" t="s">
        <v>385</v>
      </c>
      <c r="E1124" s="30"/>
      <c r="F1124" s="31"/>
      <c r="G1124" s="15" t="s">
        <v>57</v>
      </c>
      <c r="H1124" s="16" t="s">
        <v>80</v>
      </c>
    </row>
    <row r="1125" spans="2:8" s="1" customFormat="1" x14ac:dyDescent="0.15">
      <c r="B1125" s="32">
        <v>100226</v>
      </c>
      <c r="C1125" s="2" t="s">
        <v>2</v>
      </c>
      <c r="D1125" s="9">
        <f>ROUND(C12*815,0)</f>
        <v>5232</v>
      </c>
      <c r="E1125" s="3" t="s">
        <v>3</v>
      </c>
      <c r="F1125" s="11">
        <f>ROUND(C12*830,0)</f>
        <v>5329</v>
      </c>
      <c r="G1125" s="4" t="s">
        <v>8</v>
      </c>
      <c r="H1125" s="17" t="s">
        <v>81</v>
      </c>
    </row>
    <row r="1126" spans="2:8" s="1" customFormat="1" ht="13.5" customHeight="1" x14ac:dyDescent="0.15">
      <c r="B1126" s="33"/>
      <c r="C1126" s="5" t="s">
        <v>4</v>
      </c>
      <c r="D1126" s="9">
        <f>ROUND(C12*815,0)</f>
        <v>5232</v>
      </c>
      <c r="E1126" s="6" t="s">
        <v>5</v>
      </c>
      <c r="F1126" s="11">
        <f>ROUND(C12*830,0)</f>
        <v>5329</v>
      </c>
      <c r="G1126" s="35">
        <v>100</v>
      </c>
      <c r="H1126" s="17"/>
    </row>
    <row r="1127" spans="2:8" s="1" customFormat="1" ht="13.5" customHeight="1" x14ac:dyDescent="0.15">
      <c r="B1127" s="33"/>
      <c r="C1127" s="7" t="s">
        <v>6</v>
      </c>
      <c r="D1127" s="10">
        <v>5</v>
      </c>
      <c r="E1127" s="8" t="s">
        <v>7</v>
      </c>
      <c r="F1127" s="12">
        <f>ROUND(C12*368,0)</f>
        <v>2363</v>
      </c>
      <c r="G1127" s="36"/>
      <c r="H1127" s="17"/>
    </row>
    <row r="1128" spans="2:8" s="1" customFormat="1" ht="14.25" thickBot="1" x14ac:dyDescent="0.2">
      <c r="B1128" s="34"/>
      <c r="C1128" s="18" t="s">
        <v>16</v>
      </c>
      <c r="D1128" s="19" t="s">
        <v>51</v>
      </c>
      <c r="E1128" s="20" t="s">
        <v>17</v>
      </c>
      <c r="F1128" s="21" t="s">
        <v>100</v>
      </c>
      <c r="G1128" s="22" t="s">
        <v>20</v>
      </c>
      <c r="H1128" s="23" t="s">
        <v>37</v>
      </c>
    </row>
    <row r="1129" spans="2:8" s="1" customFormat="1" x14ac:dyDescent="0.15">
      <c r="B1129" s="13" t="s">
        <v>1</v>
      </c>
      <c r="C1129" s="14" t="s">
        <v>0</v>
      </c>
      <c r="D1129" s="29" t="s">
        <v>386</v>
      </c>
      <c r="E1129" s="30"/>
      <c r="F1129" s="31"/>
      <c r="G1129" s="15" t="s">
        <v>57</v>
      </c>
      <c r="H1129" s="16" t="s">
        <v>131</v>
      </c>
    </row>
    <row r="1130" spans="2:8" s="1" customFormat="1" x14ac:dyDescent="0.15">
      <c r="B1130" s="32">
        <v>100227</v>
      </c>
      <c r="C1130" s="2" t="s">
        <v>2</v>
      </c>
      <c r="D1130" s="9">
        <f>ROUND(C12*815,0)</f>
        <v>5232</v>
      </c>
      <c r="E1130" s="3" t="s">
        <v>3</v>
      </c>
      <c r="F1130" s="11">
        <f>ROUND(C12*830,0)</f>
        <v>5329</v>
      </c>
      <c r="G1130" s="4" t="s">
        <v>8</v>
      </c>
      <c r="H1130" s="17" t="s">
        <v>132</v>
      </c>
    </row>
    <row r="1131" spans="2:8" s="1" customFormat="1" ht="13.5" customHeight="1" x14ac:dyDescent="0.15">
      <c r="B1131" s="33"/>
      <c r="C1131" s="5" t="s">
        <v>4</v>
      </c>
      <c r="D1131" s="9">
        <f>ROUND(C12*815,0)</f>
        <v>5232</v>
      </c>
      <c r="E1131" s="6" t="s">
        <v>5</v>
      </c>
      <c r="F1131" s="11">
        <f>ROUND(C12*830,0)</f>
        <v>5329</v>
      </c>
      <c r="G1131" s="35">
        <v>100</v>
      </c>
      <c r="H1131" s="17"/>
    </row>
    <row r="1132" spans="2:8" s="1" customFormat="1" ht="13.5" customHeight="1" x14ac:dyDescent="0.15">
      <c r="B1132" s="33"/>
      <c r="C1132" s="7" t="s">
        <v>6</v>
      </c>
      <c r="D1132" s="10">
        <v>5</v>
      </c>
      <c r="E1132" s="8" t="s">
        <v>7</v>
      </c>
      <c r="F1132" s="12">
        <f>ROUND(C12*434,0)</f>
        <v>2786</v>
      </c>
      <c r="G1132" s="36"/>
      <c r="H1132" s="17"/>
    </row>
    <row r="1133" spans="2:8" s="1" customFormat="1" ht="14.25" thickBot="1" x14ac:dyDescent="0.2">
      <c r="B1133" s="34"/>
      <c r="C1133" s="18" t="s">
        <v>16</v>
      </c>
      <c r="D1133" s="19" t="s">
        <v>52</v>
      </c>
      <c r="E1133" s="20" t="s">
        <v>17</v>
      </c>
      <c r="F1133" s="21" t="s">
        <v>82</v>
      </c>
      <c r="G1133" s="22" t="s">
        <v>20</v>
      </c>
      <c r="H1133" s="23" t="s">
        <v>37</v>
      </c>
    </row>
    <row r="1134" spans="2:8" s="1" customFormat="1" x14ac:dyDescent="0.15">
      <c r="B1134" s="13" t="s">
        <v>1</v>
      </c>
      <c r="C1134" s="14" t="s">
        <v>0</v>
      </c>
      <c r="D1134" s="29" t="s">
        <v>387</v>
      </c>
      <c r="E1134" s="30"/>
      <c r="F1134" s="31"/>
      <c r="G1134" s="15" t="s">
        <v>57</v>
      </c>
      <c r="H1134" s="16" t="s">
        <v>91</v>
      </c>
    </row>
    <row r="1135" spans="2:8" s="1" customFormat="1" x14ac:dyDescent="0.15">
      <c r="B1135" s="32">
        <v>100228</v>
      </c>
      <c r="C1135" s="2" t="s">
        <v>2</v>
      </c>
      <c r="D1135" s="9">
        <f>ROUND(C12*800,0)</f>
        <v>5136</v>
      </c>
      <c r="E1135" s="3" t="s">
        <v>3</v>
      </c>
      <c r="F1135" s="11">
        <f>ROUND(C12*1700,0)</f>
        <v>10914</v>
      </c>
      <c r="G1135" s="4" t="s">
        <v>8</v>
      </c>
      <c r="H1135" s="17" t="s">
        <v>92</v>
      </c>
    </row>
    <row r="1136" spans="2:8" s="1" customFormat="1" ht="13.5" customHeight="1" x14ac:dyDescent="0.15">
      <c r="B1136" s="33"/>
      <c r="C1136" s="5" t="s">
        <v>4</v>
      </c>
      <c r="D1136" s="9">
        <f>ROUND(C12*800,0)</f>
        <v>5136</v>
      </c>
      <c r="E1136" s="6" t="s">
        <v>5</v>
      </c>
      <c r="F1136" s="11">
        <f>ROUND(C12*1700,0)</f>
        <v>10914</v>
      </c>
      <c r="G1136" s="35">
        <v>100</v>
      </c>
      <c r="H1136" s="17"/>
    </row>
    <row r="1137" spans="2:8" s="1" customFormat="1" ht="13.5" customHeight="1" x14ac:dyDescent="0.15">
      <c r="B1137" s="33"/>
      <c r="C1137" s="7" t="s">
        <v>6</v>
      </c>
      <c r="D1137" s="10">
        <v>3</v>
      </c>
      <c r="E1137" s="8" t="s">
        <v>7</v>
      </c>
      <c r="F1137" s="12">
        <f>ROUND(C12*368,0)</f>
        <v>2363</v>
      </c>
      <c r="G1137" s="36"/>
      <c r="H1137" s="17"/>
    </row>
    <row r="1138" spans="2:8" s="1" customFormat="1" ht="14.25" thickBot="1" x14ac:dyDescent="0.2">
      <c r="B1138" s="34"/>
      <c r="C1138" s="18" t="s">
        <v>16</v>
      </c>
      <c r="D1138" s="19" t="s">
        <v>36</v>
      </c>
      <c r="E1138" s="20" t="s">
        <v>17</v>
      </c>
      <c r="F1138" s="21" t="s">
        <v>32</v>
      </c>
      <c r="G1138" s="22" t="s">
        <v>20</v>
      </c>
      <c r="H1138" s="23" t="s">
        <v>37</v>
      </c>
    </row>
    <row r="1139" spans="2:8" s="1" customFormat="1" x14ac:dyDescent="0.15">
      <c r="B1139" s="13" t="s">
        <v>1</v>
      </c>
      <c r="C1139" s="14" t="s">
        <v>0</v>
      </c>
      <c r="D1139" s="29" t="s">
        <v>388</v>
      </c>
      <c r="E1139" s="30"/>
      <c r="F1139" s="31"/>
      <c r="G1139" s="15" t="s">
        <v>57</v>
      </c>
      <c r="H1139" s="16" t="s">
        <v>41</v>
      </c>
    </row>
    <row r="1140" spans="2:8" s="1" customFormat="1" x14ac:dyDescent="0.15">
      <c r="B1140" s="32">
        <v>100229</v>
      </c>
      <c r="C1140" s="2" t="s">
        <v>2</v>
      </c>
      <c r="D1140" s="9">
        <f>ROUND(C12*815,0)</f>
        <v>5232</v>
      </c>
      <c r="E1140" s="3" t="s">
        <v>3</v>
      </c>
      <c r="F1140" s="11">
        <f>ROUND(C12*830,0)</f>
        <v>5329</v>
      </c>
      <c r="G1140" s="4" t="s">
        <v>8</v>
      </c>
      <c r="H1140" s="17" t="s">
        <v>25</v>
      </c>
    </row>
    <row r="1141" spans="2:8" s="1" customFormat="1" ht="13.5" customHeight="1" x14ac:dyDescent="0.15">
      <c r="B1141" s="33"/>
      <c r="C1141" s="5" t="s">
        <v>4</v>
      </c>
      <c r="D1141" s="9">
        <f>ROUND(C12*815,0)</f>
        <v>5232</v>
      </c>
      <c r="E1141" s="6" t="s">
        <v>5</v>
      </c>
      <c r="F1141" s="11">
        <f>ROUND(C12*830,0)</f>
        <v>5329</v>
      </c>
      <c r="G1141" s="35">
        <v>100</v>
      </c>
      <c r="H1141" s="17"/>
    </row>
    <row r="1142" spans="2:8" s="1" customFormat="1" ht="13.5" customHeight="1" x14ac:dyDescent="0.15">
      <c r="B1142" s="33"/>
      <c r="C1142" s="7" t="s">
        <v>6</v>
      </c>
      <c r="D1142" s="10">
        <v>3</v>
      </c>
      <c r="E1142" s="8" t="s">
        <v>7</v>
      </c>
      <c r="F1142" s="12">
        <f>ROUND(C12*434,0)</f>
        <v>2786</v>
      </c>
      <c r="G1142" s="36"/>
      <c r="H1142" s="17"/>
    </row>
    <row r="1143" spans="2:8" s="1" customFormat="1" ht="14.25" thickBot="1" x14ac:dyDescent="0.2">
      <c r="B1143" s="34"/>
      <c r="C1143" s="18" t="s">
        <v>16</v>
      </c>
      <c r="D1143" s="19" t="s">
        <v>100</v>
      </c>
      <c r="E1143" s="20" t="s">
        <v>17</v>
      </c>
      <c r="F1143" s="21" t="s">
        <v>36</v>
      </c>
      <c r="G1143" s="22" t="s">
        <v>20</v>
      </c>
      <c r="H1143" s="23" t="s">
        <v>37</v>
      </c>
    </row>
  </sheetData>
  <mergeCells count="681">
    <mergeCell ref="D19:F19"/>
    <mergeCell ref="B20:B23"/>
    <mergeCell ref="G21:G22"/>
    <mergeCell ref="D24:F24"/>
    <mergeCell ref="B25:B28"/>
    <mergeCell ref="G26:G27"/>
    <mergeCell ref="B15:B18"/>
    <mergeCell ref="G16:G17"/>
    <mergeCell ref="D14:F14"/>
    <mergeCell ref="D39:F39"/>
    <mergeCell ref="B40:B43"/>
    <mergeCell ref="G41:G42"/>
    <mergeCell ref="D44:F44"/>
    <mergeCell ref="B45:B48"/>
    <mergeCell ref="G46:G47"/>
    <mergeCell ref="D29:F29"/>
    <mergeCell ref="B30:B33"/>
    <mergeCell ref="G31:G32"/>
    <mergeCell ref="D34:F34"/>
    <mergeCell ref="B35:B38"/>
    <mergeCell ref="G36:G37"/>
    <mergeCell ref="D59:F59"/>
    <mergeCell ref="B60:B63"/>
    <mergeCell ref="G61:G62"/>
    <mergeCell ref="D64:F64"/>
    <mergeCell ref="B65:B68"/>
    <mergeCell ref="G66:G67"/>
    <mergeCell ref="D49:F49"/>
    <mergeCell ref="B50:B53"/>
    <mergeCell ref="G51:G52"/>
    <mergeCell ref="D54:F54"/>
    <mergeCell ref="B55:B58"/>
    <mergeCell ref="G56:G57"/>
    <mergeCell ref="D79:F79"/>
    <mergeCell ref="B80:B83"/>
    <mergeCell ref="G81:G82"/>
    <mergeCell ref="D84:F84"/>
    <mergeCell ref="B85:B88"/>
    <mergeCell ref="G86:G87"/>
    <mergeCell ref="D69:F69"/>
    <mergeCell ref="B70:B73"/>
    <mergeCell ref="G71:G72"/>
    <mergeCell ref="D74:F74"/>
    <mergeCell ref="B75:B78"/>
    <mergeCell ref="G76:G77"/>
    <mergeCell ref="D99:F99"/>
    <mergeCell ref="B100:B103"/>
    <mergeCell ref="G101:G102"/>
    <mergeCell ref="D104:F104"/>
    <mergeCell ref="B105:B108"/>
    <mergeCell ref="G106:G107"/>
    <mergeCell ref="D89:F89"/>
    <mergeCell ref="B90:B93"/>
    <mergeCell ref="G91:G92"/>
    <mergeCell ref="D94:F94"/>
    <mergeCell ref="B95:B98"/>
    <mergeCell ref="G96:G97"/>
    <mergeCell ref="D119:F119"/>
    <mergeCell ref="B120:B123"/>
    <mergeCell ref="G121:G122"/>
    <mergeCell ref="D124:F124"/>
    <mergeCell ref="B125:B128"/>
    <mergeCell ref="G126:G127"/>
    <mergeCell ref="D109:F109"/>
    <mergeCell ref="B110:B113"/>
    <mergeCell ref="G111:G112"/>
    <mergeCell ref="D114:F114"/>
    <mergeCell ref="B115:B118"/>
    <mergeCell ref="G116:G117"/>
    <mergeCell ref="D139:F139"/>
    <mergeCell ref="B140:B143"/>
    <mergeCell ref="G141:G142"/>
    <mergeCell ref="D144:F144"/>
    <mergeCell ref="B145:B148"/>
    <mergeCell ref="G146:G147"/>
    <mergeCell ref="D129:F129"/>
    <mergeCell ref="B130:B133"/>
    <mergeCell ref="G131:G132"/>
    <mergeCell ref="D134:F134"/>
    <mergeCell ref="B135:B138"/>
    <mergeCell ref="G136:G137"/>
    <mergeCell ref="D159:F159"/>
    <mergeCell ref="B160:B163"/>
    <mergeCell ref="G161:G162"/>
    <mergeCell ref="D164:F164"/>
    <mergeCell ref="B165:B168"/>
    <mergeCell ref="G166:G167"/>
    <mergeCell ref="D149:F149"/>
    <mergeCell ref="B150:B153"/>
    <mergeCell ref="G151:G152"/>
    <mergeCell ref="D154:F154"/>
    <mergeCell ref="B155:B158"/>
    <mergeCell ref="G156:G157"/>
    <mergeCell ref="D179:F179"/>
    <mergeCell ref="B180:B183"/>
    <mergeCell ref="G181:G182"/>
    <mergeCell ref="D184:F184"/>
    <mergeCell ref="B185:B188"/>
    <mergeCell ref="G186:G187"/>
    <mergeCell ref="D169:F169"/>
    <mergeCell ref="B170:B173"/>
    <mergeCell ref="G171:G172"/>
    <mergeCell ref="D174:F174"/>
    <mergeCell ref="B175:B178"/>
    <mergeCell ref="G176:G177"/>
    <mergeCell ref="D199:F199"/>
    <mergeCell ref="B200:B203"/>
    <mergeCell ref="G201:G202"/>
    <mergeCell ref="D204:F204"/>
    <mergeCell ref="B205:B208"/>
    <mergeCell ref="G206:G207"/>
    <mergeCell ref="D189:F189"/>
    <mergeCell ref="B190:B193"/>
    <mergeCell ref="G191:G192"/>
    <mergeCell ref="D194:F194"/>
    <mergeCell ref="B195:B198"/>
    <mergeCell ref="G196:G197"/>
    <mergeCell ref="D219:F219"/>
    <mergeCell ref="B220:B223"/>
    <mergeCell ref="G221:G222"/>
    <mergeCell ref="D224:F224"/>
    <mergeCell ref="B225:B228"/>
    <mergeCell ref="G226:G227"/>
    <mergeCell ref="D209:F209"/>
    <mergeCell ref="B210:B213"/>
    <mergeCell ref="G211:G212"/>
    <mergeCell ref="D214:F214"/>
    <mergeCell ref="B215:B218"/>
    <mergeCell ref="G216:G217"/>
    <mergeCell ref="D239:F239"/>
    <mergeCell ref="B240:B243"/>
    <mergeCell ref="G241:G242"/>
    <mergeCell ref="D244:F244"/>
    <mergeCell ref="B245:B248"/>
    <mergeCell ref="G246:G247"/>
    <mergeCell ref="D229:F229"/>
    <mergeCell ref="B230:B233"/>
    <mergeCell ref="G231:G232"/>
    <mergeCell ref="D234:F234"/>
    <mergeCell ref="B235:B238"/>
    <mergeCell ref="G236:G237"/>
    <mergeCell ref="D259:F259"/>
    <mergeCell ref="B260:B263"/>
    <mergeCell ref="G261:G262"/>
    <mergeCell ref="D264:F264"/>
    <mergeCell ref="B265:B268"/>
    <mergeCell ref="G266:G267"/>
    <mergeCell ref="D249:F249"/>
    <mergeCell ref="B250:B253"/>
    <mergeCell ref="G251:G252"/>
    <mergeCell ref="D254:F254"/>
    <mergeCell ref="B255:B258"/>
    <mergeCell ref="G256:G257"/>
    <mergeCell ref="D279:F279"/>
    <mergeCell ref="B280:B283"/>
    <mergeCell ref="G281:G282"/>
    <mergeCell ref="D284:F284"/>
    <mergeCell ref="B285:B288"/>
    <mergeCell ref="G286:G287"/>
    <mergeCell ref="D269:F269"/>
    <mergeCell ref="B270:B273"/>
    <mergeCell ref="G271:G272"/>
    <mergeCell ref="D274:F274"/>
    <mergeCell ref="B275:B278"/>
    <mergeCell ref="G276:G277"/>
    <mergeCell ref="D299:F299"/>
    <mergeCell ref="B300:B303"/>
    <mergeCell ref="G301:G302"/>
    <mergeCell ref="D304:F304"/>
    <mergeCell ref="B305:B308"/>
    <mergeCell ref="G306:G307"/>
    <mergeCell ref="D289:F289"/>
    <mergeCell ref="B290:B293"/>
    <mergeCell ref="G291:G292"/>
    <mergeCell ref="D294:F294"/>
    <mergeCell ref="B295:B298"/>
    <mergeCell ref="G296:G297"/>
    <mergeCell ref="D319:F319"/>
    <mergeCell ref="B320:B323"/>
    <mergeCell ref="G321:G322"/>
    <mergeCell ref="D324:F324"/>
    <mergeCell ref="B325:B328"/>
    <mergeCell ref="G326:G327"/>
    <mergeCell ref="D309:F309"/>
    <mergeCell ref="B310:B313"/>
    <mergeCell ref="G311:G312"/>
    <mergeCell ref="D314:F314"/>
    <mergeCell ref="B315:B318"/>
    <mergeCell ref="G316:G317"/>
    <mergeCell ref="D339:F339"/>
    <mergeCell ref="B340:B343"/>
    <mergeCell ref="G341:G342"/>
    <mergeCell ref="D344:F344"/>
    <mergeCell ref="B345:B348"/>
    <mergeCell ref="G346:G347"/>
    <mergeCell ref="D329:F329"/>
    <mergeCell ref="B330:B333"/>
    <mergeCell ref="G331:G332"/>
    <mergeCell ref="D334:F334"/>
    <mergeCell ref="B335:B338"/>
    <mergeCell ref="G336:G337"/>
    <mergeCell ref="D359:F359"/>
    <mergeCell ref="B360:B363"/>
    <mergeCell ref="G361:G362"/>
    <mergeCell ref="D364:F364"/>
    <mergeCell ref="B365:B368"/>
    <mergeCell ref="G366:G367"/>
    <mergeCell ref="D349:F349"/>
    <mergeCell ref="B350:B353"/>
    <mergeCell ref="G351:G352"/>
    <mergeCell ref="D354:F354"/>
    <mergeCell ref="B355:B358"/>
    <mergeCell ref="G356:G357"/>
    <mergeCell ref="D379:F379"/>
    <mergeCell ref="B380:B383"/>
    <mergeCell ref="G381:G382"/>
    <mergeCell ref="D384:F384"/>
    <mergeCell ref="B385:B388"/>
    <mergeCell ref="G386:G387"/>
    <mergeCell ref="D369:F369"/>
    <mergeCell ref="B370:B373"/>
    <mergeCell ref="G371:G372"/>
    <mergeCell ref="D374:F374"/>
    <mergeCell ref="B375:B378"/>
    <mergeCell ref="G376:G377"/>
    <mergeCell ref="D399:F399"/>
    <mergeCell ref="B400:B403"/>
    <mergeCell ref="G401:G402"/>
    <mergeCell ref="D404:F404"/>
    <mergeCell ref="B405:B408"/>
    <mergeCell ref="G406:G407"/>
    <mergeCell ref="D389:F389"/>
    <mergeCell ref="B390:B393"/>
    <mergeCell ref="G391:G392"/>
    <mergeCell ref="D394:F394"/>
    <mergeCell ref="B395:B398"/>
    <mergeCell ref="G396:G397"/>
    <mergeCell ref="D419:F419"/>
    <mergeCell ref="B420:B423"/>
    <mergeCell ref="G421:G422"/>
    <mergeCell ref="D424:F424"/>
    <mergeCell ref="B425:B428"/>
    <mergeCell ref="G426:G427"/>
    <mergeCell ref="D409:F409"/>
    <mergeCell ref="B410:B413"/>
    <mergeCell ref="G411:G412"/>
    <mergeCell ref="D414:F414"/>
    <mergeCell ref="B415:B418"/>
    <mergeCell ref="G416:G417"/>
    <mergeCell ref="D439:F439"/>
    <mergeCell ref="B440:B443"/>
    <mergeCell ref="G441:G442"/>
    <mergeCell ref="D444:F444"/>
    <mergeCell ref="B445:B448"/>
    <mergeCell ref="G446:G447"/>
    <mergeCell ref="D429:F429"/>
    <mergeCell ref="B430:B433"/>
    <mergeCell ref="G431:G432"/>
    <mergeCell ref="D434:F434"/>
    <mergeCell ref="B435:B438"/>
    <mergeCell ref="G436:G437"/>
    <mergeCell ref="D459:F459"/>
    <mergeCell ref="B460:B463"/>
    <mergeCell ref="G461:G462"/>
    <mergeCell ref="D464:F464"/>
    <mergeCell ref="B465:B468"/>
    <mergeCell ref="G466:G467"/>
    <mergeCell ref="D449:F449"/>
    <mergeCell ref="B450:B453"/>
    <mergeCell ref="G451:G452"/>
    <mergeCell ref="D454:F454"/>
    <mergeCell ref="B455:B458"/>
    <mergeCell ref="G456:G457"/>
    <mergeCell ref="D479:F479"/>
    <mergeCell ref="B480:B483"/>
    <mergeCell ref="G481:G482"/>
    <mergeCell ref="D484:F484"/>
    <mergeCell ref="B485:B488"/>
    <mergeCell ref="G486:G487"/>
    <mergeCell ref="D469:F469"/>
    <mergeCell ref="B470:B473"/>
    <mergeCell ref="G471:G472"/>
    <mergeCell ref="D474:F474"/>
    <mergeCell ref="B475:B478"/>
    <mergeCell ref="G476:G477"/>
    <mergeCell ref="D499:F499"/>
    <mergeCell ref="B500:B503"/>
    <mergeCell ref="G501:G502"/>
    <mergeCell ref="D504:F504"/>
    <mergeCell ref="B505:B508"/>
    <mergeCell ref="G506:G507"/>
    <mergeCell ref="D489:F489"/>
    <mergeCell ref="B490:B493"/>
    <mergeCell ref="G491:G492"/>
    <mergeCell ref="D494:F494"/>
    <mergeCell ref="B495:B498"/>
    <mergeCell ref="G496:G497"/>
    <mergeCell ref="D519:F519"/>
    <mergeCell ref="B520:B523"/>
    <mergeCell ref="G521:G522"/>
    <mergeCell ref="D524:F524"/>
    <mergeCell ref="B525:B528"/>
    <mergeCell ref="G526:G527"/>
    <mergeCell ref="D509:F509"/>
    <mergeCell ref="B510:B513"/>
    <mergeCell ref="G511:G512"/>
    <mergeCell ref="D514:F514"/>
    <mergeCell ref="B515:B518"/>
    <mergeCell ref="G516:G517"/>
    <mergeCell ref="D539:F539"/>
    <mergeCell ref="B540:B543"/>
    <mergeCell ref="G541:G542"/>
    <mergeCell ref="D544:F544"/>
    <mergeCell ref="B545:B548"/>
    <mergeCell ref="G546:G547"/>
    <mergeCell ref="D529:F529"/>
    <mergeCell ref="B530:B533"/>
    <mergeCell ref="G531:G532"/>
    <mergeCell ref="D534:F534"/>
    <mergeCell ref="B535:B538"/>
    <mergeCell ref="G536:G537"/>
    <mergeCell ref="D559:F559"/>
    <mergeCell ref="B560:B563"/>
    <mergeCell ref="G561:G562"/>
    <mergeCell ref="D564:F564"/>
    <mergeCell ref="B565:B568"/>
    <mergeCell ref="G566:G567"/>
    <mergeCell ref="D549:F549"/>
    <mergeCell ref="B550:B553"/>
    <mergeCell ref="G551:G552"/>
    <mergeCell ref="D554:F554"/>
    <mergeCell ref="B555:B558"/>
    <mergeCell ref="G556:G557"/>
    <mergeCell ref="D579:F579"/>
    <mergeCell ref="B580:B583"/>
    <mergeCell ref="G581:G582"/>
    <mergeCell ref="D584:F584"/>
    <mergeCell ref="B585:B588"/>
    <mergeCell ref="G586:G587"/>
    <mergeCell ref="D569:F569"/>
    <mergeCell ref="B570:B573"/>
    <mergeCell ref="G571:G572"/>
    <mergeCell ref="D574:F574"/>
    <mergeCell ref="B575:B578"/>
    <mergeCell ref="G576:G577"/>
    <mergeCell ref="D599:F599"/>
    <mergeCell ref="B600:B603"/>
    <mergeCell ref="G601:G602"/>
    <mergeCell ref="D604:F604"/>
    <mergeCell ref="B605:B608"/>
    <mergeCell ref="G606:G607"/>
    <mergeCell ref="D589:F589"/>
    <mergeCell ref="B590:B593"/>
    <mergeCell ref="G591:G592"/>
    <mergeCell ref="D594:F594"/>
    <mergeCell ref="B595:B598"/>
    <mergeCell ref="G596:G597"/>
    <mergeCell ref="D619:F619"/>
    <mergeCell ref="B620:B623"/>
    <mergeCell ref="G621:G622"/>
    <mergeCell ref="D624:F624"/>
    <mergeCell ref="B625:B628"/>
    <mergeCell ref="G626:G627"/>
    <mergeCell ref="D609:F609"/>
    <mergeCell ref="B610:B613"/>
    <mergeCell ref="G611:G612"/>
    <mergeCell ref="D614:F614"/>
    <mergeCell ref="B615:B618"/>
    <mergeCell ref="G616:G617"/>
    <mergeCell ref="D639:F639"/>
    <mergeCell ref="B640:B643"/>
    <mergeCell ref="G641:G642"/>
    <mergeCell ref="D644:F644"/>
    <mergeCell ref="B645:B648"/>
    <mergeCell ref="G646:G647"/>
    <mergeCell ref="D629:F629"/>
    <mergeCell ref="B630:B633"/>
    <mergeCell ref="G631:G632"/>
    <mergeCell ref="D634:F634"/>
    <mergeCell ref="B635:B638"/>
    <mergeCell ref="G636:G637"/>
    <mergeCell ref="D659:F659"/>
    <mergeCell ref="B660:B663"/>
    <mergeCell ref="G661:G662"/>
    <mergeCell ref="D664:F664"/>
    <mergeCell ref="B665:B668"/>
    <mergeCell ref="G666:G667"/>
    <mergeCell ref="D649:F649"/>
    <mergeCell ref="B650:B653"/>
    <mergeCell ref="G651:G652"/>
    <mergeCell ref="D654:F654"/>
    <mergeCell ref="B655:B658"/>
    <mergeCell ref="G656:G657"/>
    <mergeCell ref="D679:F679"/>
    <mergeCell ref="B680:B683"/>
    <mergeCell ref="G681:G682"/>
    <mergeCell ref="D684:F684"/>
    <mergeCell ref="B685:B688"/>
    <mergeCell ref="G686:G687"/>
    <mergeCell ref="D669:F669"/>
    <mergeCell ref="B670:B673"/>
    <mergeCell ref="G671:G672"/>
    <mergeCell ref="D674:F674"/>
    <mergeCell ref="B675:B678"/>
    <mergeCell ref="G676:G677"/>
    <mergeCell ref="D699:F699"/>
    <mergeCell ref="B700:B703"/>
    <mergeCell ref="G701:G702"/>
    <mergeCell ref="D704:F704"/>
    <mergeCell ref="B705:B708"/>
    <mergeCell ref="G706:G707"/>
    <mergeCell ref="D689:F689"/>
    <mergeCell ref="B690:B693"/>
    <mergeCell ref="G691:G692"/>
    <mergeCell ref="D694:F694"/>
    <mergeCell ref="B695:B698"/>
    <mergeCell ref="G696:G697"/>
    <mergeCell ref="D719:F719"/>
    <mergeCell ref="B720:B723"/>
    <mergeCell ref="G721:G722"/>
    <mergeCell ref="D724:F724"/>
    <mergeCell ref="B725:B728"/>
    <mergeCell ref="G726:G727"/>
    <mergeCell ref="D709:F709"/>
    <mergeCell ref="B710:B713"/>
    <mergeCell ref="G711:G712"/>
    <mergeCell ref="D714:F714"/>
    <mergeCell ref="B715:B718"/>
    <mergeCell ref="G716:G717"/>
    <mergeCell ref="D739:F739"/>
    <mergeCell ref="B740:B743"/>
    <mergeCell ref="G741:G742"/>
    <mergeCell ref="D744:F744"/>
    <mergeCell ref="B745:B748"/>
    <mergeCell ref="G746:G747"/>
    <mergeCell ref="D729:F729"/>
    <mergeCell ref="B730:B733"/>
    <mergeCell ref="G731:G732"/>
    <mergeCell ref="D734:F734"/>
    <mergeCell ref="B735:B738"/>
    <mergeCell ref="G736:G737"/>
    <mergeCell ref="D759:F759"/>
    <mergeCell ref="B760:B763"/>
    <mergeCell ref="G761:G762"/>
    <mergeCell ref="D764:F764"/>
    <mergeCell ref="B765:B768"/>
    <mergeCell ref="G766:G767"/>
    <mergeCell ref="D749:F749"/>
    <mergeCell ref="B750:B753"/>
    <mergeCell ref="G751:G752"/>
    <mergeCell ref="D754:F754"/>
    <mergeCell ref="B755:B758"/>
    <mergeCell ref="G756:G757"/>
    <mergeCell ref="D779:F779"/>
    <mergeCell ref="B780:B783"/>
    <mergeCell ref="G781:G782"/>
    <mergeCell ref="D784:F784"/>
    <mergeCell ref="B785:B788"/>
    <mergeCell ref="G786:G787"/>
    <mergeCell ref="D769:F769"/>
    <mergeCell ref="B770:B773"/>
    <mergeCell ref="G771:G772"/>
    <mergeCell ref="D774:F774"/>
    <mergeCell ref="B775:B778"/>
    <mergeCell ref="G776:G777"/>
    <mergeCell ref="D799:F799"/>
    <mergeCell ref="B800:B803"/>
    <mergeCell ref="G801:G802"/>
    <mergeCell ref="D804:F804"/>
    <mergeCell ref="B805:B808"/>
    <mergeCell ref="G806:G807"/>
    <mergeCell ref="D789:F789"/>
    <mergeCell ref="B790:B793"/>
    <mergeCell ref="G791:G792"/>
    <mergeCell ref="D794:F794"/>
    <mergeCell ref="B795:B798"/>
    <mergeCell ref="G796:G797"/>
    <mergeCell ref="D819:F819"/>
    <mergeCell ref="B820:B823"/>
    <mergeCell ref="G821:G822"/>
    <mergeCell ref="D824:F824"/>
    <mergeCell ref="B825:B828"/>
    <mergeCell ref="G826:G827"/>
    <mergeCell ref="D809:F809"/>
    <mergeCell ref="B810:B813"/>
    <mergeCell ref="G811:G812"/>
    <mergeCell ref="D814:F814"/>
    <mergeCell ref="B815:B818"/>
    <mergeCell ref="G816:G817"/>
    <mergeCell ref="D839:F839"/>
    <mergeCell ref="B840:B843"/>
    <mergeCell ref="G841:G842"/>
    <mergeCell ref="D844:F844"/>
    <mergeCell ref="B845:B848"/>
    <mergeCell ref="G846:G847"/>
    <mergeCell ref="D829:F829"/>
    <mergeCell ref="B830:B833"/>
    <mergeCell ref="G831:G832"/>
    <mergeCell ref="D834:F834"/>
    <mergeCell ref="B835:B838"/>
    <mergeCell ref="G836:G837"/>
    <mergeCell ref="D859:F859"/>
    <mergeCell ref="B860:B863"/>
    <mergeCell ref="G861:G862"/>
    <mergeCell ref="D864:F864"/>
    <mergeCell ref="B865:B868"/>
    <mergeCell ref="G866:G867"/>
    <mergeCell ref="D849:F849"/>
    <mergeCell ref="B850:B853"/>
    <mergeCell ref="G851:G852"/>
    <mergeCell ref="D854:F854"/>
    <mergeCell ref="B855:B858"/>
    <mergeCell ref="G856:G857"/>
    <mergeCell ref="D879:F879"/>
    <mergeCell ref="B880:B883"/>
    <mergeCell ref="G881:G882"/>
    <mergeCell ref="D884:F884"/>
    <mergeCell ref="B885:B888"/>
    <mergeCell ref="G886:G887"/>
    <mergeCell ref="D869:F869"/>
    <mergeCell ref="B870:B873"/>
    <mergeCell ref="G871:G872"/>
    <mergeCell ref="D874:F874"/>
    <mergeCell ref="B875:B878"/>
    <mergeCell ref="G876:G877"/>
    <mergeCell ref="D899:F899"/>
    <mergeCell ref="B900:B903"/>
    <mergeCell ref="G901:G902"/>
    <mergeCell ref="D904:F904"/>
    <mergeCell ref="B905:B908"/>
    <mergeCell ref="G906:G907"/>
    <mergeCell ref="D889:F889"/>
    <mergeCell ref="B890:B893"/>
    <mergeCell ref="G891:G892"/>
    <mergeCell ref="D894:F894"/>
    <mergeCell ref="B895:B898"/>
    <mergeCell ref="G896:G897"/>
    <mergeCell ref="D919:F919"/>
    <mergeCell ref="B920:B923"/>
    <mergeCell ref="G921:G922"/>
    <mergeCell ref="D924:F924"/>
    <mergeCell ref="B925:B928"/>
    <mergeCell ref="G926:G927"/>
    <mergeCell ref="D909:F909"/>
    <mergeCell ref="B910:B913"/>
    <mergeCell ref="G911:G912"/>
    <mergeCell ref="D914:F914"/>
    <mergeCell ref="B915:B918"/>
    <mergeCell ref="G916:G917"/>
    <mergeCell ref="D939:F939"/>
    <mergeCell ref="B940:B943"/>
    <mergeCell ref="G941:G942"/>
    <mergeCell ref="D944:F944"/>
    <mergeCell ref="B945:B948"/>
    <mergeCell ref="G946:G947"/>
    <mergeCell ref="D929:F929"/>
    <mergeCell ref="B930:B933"/>
    <mergeCell ref="G931:G932"/>
    <mergeCell ref="D934:F934"/>
    <mergeCell ref="B935:B938"/>
    <mergeCell ref="G936:G937"/>
    <mergeCell ref="D959:F959"/>
    <mergeCell ref="B960:B963"/>
    <mergeCell ref="G961:G962"/>
    <mergeCell ref="D964:F964"/>
    <mergeCell ref="B965:B968"/>
    <mergeCell ref="G966:G967"/>
    <mergeCell ref="D949:F949"/>
    <mergeCell ref="B950:B953"/>
    <mergeCell ref="G951:G952"/>
    <mergeCell ref="D954:F954"/>
    <mergeCell ref="B955:B958"/>
    <mergeCell ref="G956:G957"/>
    <mergeCell ref="D979:F979"/>
    <mergeCell ref="B980:B983"/>
    <mergeCell ref="G981:G982"/>
    <mergeCell ref="D984:F984"/>
    <mergeCell ref="B985:B988"/>
    <mergeCell ref="G986:G987"/>
    <mergeCell ref="D969:F969"/>
    <mergeCell ref="B970:B973"/>
    <mergeCell ref="G971:G972"/>
    <mergeCell ref="D974:F974"/>
    <mergeCell ref="B975:B978"/>
    <mergeCell ref="G976:G977"/>
    <mergeCell ref="D999:F999"/>
    <mergeCell ref="B1000:B1003"/>
    <mergeCell ref="G1001:G1002"/>
    <mergeCell ref="D1004:F1004"/>
    <mergeCell ref="B1005:B1008"/>
    <mergeCell ref="G1006:G1007"/>
    <mergeCell ref="D989:F989"/>
    <mergeCell ref="B990:B993"/>
    <mergeCell ref="G991:G992"/>
    <mergeCell ref="D994:F994"/>
    <mergeCell ref="B995:B998"/>
    <mergeCell ref="G996:G997"/>
    <mergeCell ref="D1019:F1019"/>
    <mergeCell ref="B1020:B1023"/>
    <mergeCell ref="G1021:G1022"/>
    <mergeCell ref="D1024:F1024"/>
    <mergeCell ref="B1025:B1028"/>
    <mergeCell ref="G1026:G1027"/>
    <mergeCell ref="D1009:F1009"/>
    <mergeCell ref="B1010:B1013"/>
    <mergeCell ref="G1011:G1012"/>
    <mergeCell ref="D1014:F1014"/>
    <mergeCell ref="B1015:B1018"/>
    <mergeCell ref="G1016:G1017"/>
    <mergeCell ref="D1039:F1039"/>
    <mergeCell ref="B1040:B1043"/>
    <mergeCell ref="G1041:G1042"/>
    <mergeCell ref="D1044:F1044"/>
    <mergeCell ref="B1045:B1048"/>
    <mergeCell ref="G1046:G1047"/>
    <mergeCell ref="D1029:F1029"/>
    <mergeCell ref="B1030:B1033"/>
    <mergeCell ref="G1031:G1032"/>
    <mergeCell ref="D1034:F1034"/>
    <mergeCell ref="B1035:B1038"/>
    <mergeCell ref="G1036:G1037"/>
    <mergeCell ref="D1059:F1059"/>
    <mergeCell ref="B1060:B1063"/>
    <mergeCell ref="G1061:G1062"/>
    <mergeCell ref="D1064:F1064"/>
    <mergeCell ref="B1065:B1068"/>
    <mergeCell ref="G1066:G1067"/>
    <mergeCell ref="D1049:F1049"/>
    <mergeCell ref="B1050:B1053"/>
    <mergeCell ref="G1051:G1052"/>
    <mergeCell ref="D1054:F1054"/>
    <mergeCell ref="B1055:B1058"/>
    <mergeCell ref="G1056:G1057"/>
    <mergeCell ref="D1079:F1079"/>
    <mergeCell ref="B1080:B1083"/>
    <mergeCell ref="G1081:G1082"/>
    <mergeCell ref="D1084:F1084"/>
    <mergeCell ref="B1085:B1088"/>
    <mergeCell ref="G1086:G1087"/>
    <mergeCell ref="D1069:F1069"/>
    <mergeCell ref="B1070:B1073"/>
    <mergeCell ref="G1071:G1072"/>
    <mergeCell ref="D1074:F1074"/>
    <mergeCell ref="B1075:B1078"/>
    <mergeCell ref="G1076:G1077"/>
    <mergeCell ref="D1099:F1099"/>
    <mergeCell ref="B1100:B1103"/>
    <mergeCell ref="G1101:G1102"/>
    <mergeCell ref="D1104:F1104"/>
    <mergeCell ref="B1105:B1108"/>
    <mergeCell ref="G1106:G1107"/>
    <mergeCell ref="D1089:F1089"/>
    <mergeCell ref="B1090:B1093"/>
    <mergeCell ref="G1091:G1092"/>
    <mergeCell ref="D1094:F1094"/>
    <mergeCell ref="B1095:B1098"/>
    <mergeCell ref="G1096:G1097"/>
    <mergeCell ref="D1139:F1139"/>
    <mergeCell ref="B1140:B1143"/>
    <mergeCell ref="G1141:G1142"/>
    <mergeCell ref="D6:F6"/>
    <mergeCell ref="B7:B10"/>
    <mergeCell ref="G8:G9"/>
    <mergeCell ref="D1129:F1129"/>
    <mergeCell ref="B1130:B1133"/>
    <mergeCell ref="G1131:G1132"/>
    <mergeCell ref="D1134:F1134"/>
    <mergeCell ref="B1135:B1138"/>
    <mergeCell ref="G1136:G1137"/>
    <mergeCell ref="D1119:F1119"/>
    <mergeCell ref="B1120:B1123"/>
    <mergeCell ref="G1121:G1122"/>
    <mergeCell ref="D1124:F1124"/>
    <mergeCell ref="B1125:B1128"/>
    <mergeCell ref="G1126:G1127"/>
    <mergeCell ref="D1109:F1109"/>
    <mergeCell ref="B1110:B1113"/>
    <mergeCell ref="G1111:G1112"/>
    <mergeCell ref="D1114:F1114"/>
    <mergeCell ref="B1115:B1118"/>
    <mergeCell ref="G1116:G1117"/>
  </mergeCells>
  <phoneticPr fontId="1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70AE-5962-3647-81B4-17EE09329490}">
  <dimension ref="B5:M1143"/>
  <sheetViews>
    <sheetView zoomScaleNormal="80" zoomScaleSheetLayoutView="100" workbookViewId="0"/>
  </sheetViews>
  <sheetFormatPr defaultRowHeight="13.5" x14ac:dyDescent="0.15"/>
  <cols>
    <col min="1" max="2" width="9.31640625" style="24"/>
    <col min="3" max="3" width="6.7265625" style="24" customWidth="1"/>
    <col min="4" max="4" width="9.31640625" style="24"/>
    <col min="5" max="5" width="6.7265625" style="24" customWidth="1"/>
    <col min="6" max="7" width="9.31640625" style="24"/>
    <col min="8" max="8" width="41.66796875" style="24" customWidth="1"/>
    <col min="9" max="16384" width="9.31640625" style="24"/>
  </cols>
  <sheetData>
    <row r="5" spans="2:13" ht="14.25" thickBot="1" x14ac:dyDescent="0.2"/>
    <row r="6" spans="2:13" s="1" customFormat="1" x14ac:dyDescent="0.15">
      <c r="B6" s="13" t="s">
        <v>1</v>
      </c>
      <c r="C6" s="14" t="s">
        <v>0</v>
      </c>
      <c r="D6" s="29" t="s">
        <v>13</v>
      </c>
      <c r="E6" s="30"/>
      <c r="F6" s="31"/>
      <c r="G6" s="15" t="s">
        <v>12</v>
      </c>
      <c r="H6" s="16" t="s">
        <v>0</v>
      </c>
    </row>
    <row r="7" spans="2:13" s="1" customFormat="1" x14ac:dyDescent="0.15">
      <c r="B7" s="32" t="s">
        <v>14</v>
      </c>
      <c r="C7" s="2" t="s">
        <v>2</v>
      </c>
      <c r="D7" s="9">
        <v>1</v>
      </c>
      <c r="E7" s="3" t="s">
        <v>3</v>
      </c>
      <c r="F7" s="11">
        <v>2</v>
      </c>
      <c r="G7" s="4" t="s">
        <v>8</v>
      </c>
      <c r="H7" s="17" t="s">
        <v>9</v>
      </c>
    </row>
    <row r="8" spans="2:13" s="1" customFormat="1" ht="13.5" customHeight="1" x14ac:dyDescent="0.15">
      <c r="B8" s="33"/>
      <c r="C8" s="5" t="s">
        <v>4</v>
      </c>
      <c r="D8" s="9">
        <v>3</v>
      </c>
      <c r="E8" s="6" t="s">
        <v>5</v>
      </c>
      <c r="F8" s="11">
        <v>4</v>
      </c>
      <c r="G8" s="35" t="s">
        <v>15</v>
      </c>
      <c r="H8" s="17" t="s">
        <v>10</v>
      </c>
    </row>
    <row r="9" spans="2:13" s="1" customFormat="1" ht="13.5" customHeight="1" x14ac:dyDescent="0.15">
      <c r="B9" s="33"/>
      <c r="C9" s="7" t="s">
        <v>6</v>
      </c>
      <c r="D9" s="10">
        <v>6</v>
      </c>
      <c r="E9" s="8" t="s">
        <v>7</v>
      </c>
      <c r="F9" s="12">
        <v>5</v>
      </c>
      <c r="G9" s="36"/>
      <c r="H9" s="17" t="s">
        <v>11</v>
      </c>
    </row>
    <row r="10" spans="2:13" s="1" customFormat="1" ht="14.25" thickBot="1" x14ac:dyDescent="0.2">
      <c r="B10" s="34"/>
      <c r="C10" s="18" t="s">
        <v>16</v>
      </c>
      <c r="D10" s="19" t="s">
        <v>18</v>
      </c>
      <c r="E10" s="20" t="s">
        <v>17</v>
      </c>
      <c r="F10" s="21" t="s">
        <v>19</v>
      </c>
      <c r="G10" s="22" t="s">
        <v>20</v>
      </c>
      <c r="H10" s="23" t="s">
        <v>21</v>
      </c>
    </row>
    <row r="11" spans="2:13" ht="14.25" thickBot="1" x14ac:dyDescent="0.2"/>
    <row r="12" spans="2:13" ht="14.25" thickBot="1" x14ac:dyDescent="0.2">
      <c r="C12" s="24">
        <f>VLOOKUP(E12,Sheet1!$A6:$B8,2,FALSE)</f>
        <v>10.5</v>
      </c>
      <c r="D12" s="25" t="s">
        <v>451</v>
      </c>
      <c r="E12" s="28" t="s">
        <v>447</v>
      </c>
      <c r="F12" s="26" t="s">
        <v>452</v>
      </c>
    </row>
    <row r="13" spans="2:13" ht="14.25" thickBot="1" x14ac:dyDescent="0.2">
      <c r="J13" s="37" t="s">
        <v>468</v>
      </c>
      <c r="K13" s="37"/>
      <c r="L13" s="37"/>
      <c r="M13" s="37"/>
    </row>
    <row r="14" spans="2:13" s="1" customFormat="1" x14ac:dyDescent="0.15">
      <c r="B14" s="13" t="s">
        <v>1</v>
      </c>
      <c r="C14" s="14" t="s">
        <v>0</v>
      </c>
      <c r="D14" s="29" t="s">
        <v>58</v>
      </c>
      <c r="E14" s="30"/>
      <c r="F14" s="31"/>
      <c r="G14" s="15" t="s">
        <v>57</v>
      </c>
      <c r="H14" s="16" t="s">
        <v>31</v>
      </c>
      <c r="J14" s="1" t="s">
        <v>467</v>
      </c>
      <c r="K14" s="1">
        <v>1</v>
      </c>
      <c r="L14" s="1">
        <v>2</v>
      </c>
      <c r="M14" s="1">
        <v>3</v>
      </c>
    </row>
    <row r="15" spans="2:13" s="1" customFormat="1" x14ac:dyDescent="0.15">
      <c r="B15" s="32">
        <v>200001</v>
      </c>
      <c r="C15" s="2" t="s">
        <v>2</v>
      </c>
      <c r="D15" s="9">
        <f>ROUND(C12*880,0)</f>
        <v>9240</v>
      </c>
      <c r="E15" s="3" t="s">
        <v>3</v>
      </c>
      <c r="F15" s="11">
        <f>ROUND(C12*476,0)</f>
        <v>4998</v>
      </c>
      <c r="G15" s="4" t="s">
        <v>8</v>
      </c>
      <c r="H15" s="17" t="s">
        <v>22</v>
      </c>
      <c r="J15" s="1">
        <v>1</v>
      </c>
      <c r="K15" s="1">
        <f>67500/J15-1</f>
        <v>67499</v>
      </c>
      <c r="L15" s="1">
        <f>75000/J15-1</f>
        <v>74999</v>
      </c>
      <c r="M15" s="1">
        <f>82500/J15-1</f>
        <v>82499</v>
      </c>
    </row>
    <row r="16" spans="2:13" s="1" customFormat="1" ht="13.5" customHeight="1" x14ac:dyDescent="0.15">
      <c r="B16" s="33"/>
      <c r="C16" s="5" t="s">
        <v>4</v>
      </c>
      <c r="D16" s="9">
        <f>ROUND(C12*680,0)</f>
        <v>7140</v>
      </c>
      <c r="E16" s="6" t="s">
        <v>5</v>
      </c>
      <c r="F16" s="11">
        <f>ROUND(C12*880,0)</f>
        <v>9240</v>
      </c>
      <c r="G16" s="35">
        <v>50</v>
      </c>
      <c r="H16" s="17"/>
      <c r="J16" s="1">
        <v>2</v>
      </c>
      <c r="K16" s="1">
        <f t="shared" ref="K16:K17" si="0">67500/J16-1</f>
        <v>33749</v>
      </c>
      <c r="L16" s="1">
        <f t="shared" ref="L16:L17" si="1">75000/J16-1</f>
        <v>37499</v>
      </c>
      <c r="M16" s="1">
        <f t="shared" ref="M16:M17" si="2">82500/J16-1</f>
        <v>41249</v>
      </c>
    </row>
    <row r="17" spans="2:13" s="1" customFormat="1" ht="13.5" customHeight="1" x14ac:dyDescent="0.15">
      <c r="B17" s="33"/>
      <c r="C17" s="7" t="s">
        <v>6</v>
      </c>
      <c r="D17" s="10">
        <v>7</v>
      </c>
      <c r="E17" s="8" t="s">
        <v>7</v>
      </c>
      <c r="F17" s="12">
        <f>ROUND(C12*480,0)</f>
        <v>5040</v>
      </c>
      <c r="G17" s="36"/>
      <c r="H17" s="17"/>
      <c r="J17" s="1">
        <v>3</v>
      </c>
      <c r="K17" s="1">
        <f t="shared" si="0"/>
        <v>22499</v>
      </c>
      <c r="L17" s="1">
        <f t="shared" si="1"/>
        <v>24999</v>
      </c>
      <c r="M17" s="1">
        <f t="shared" si="2"/>
        <v>27499</v>
      </c>
    </row>
    <row r="18" spans="2:13" s="1" customFormat="1" ht="14.25" thickBot="1" x14ac:dyDescent="0.2">
      <c r="B18" s="34"/>
      <c r="C18" s="18" t="s">
        <v>16</v>
      </c>
      <c r="D18" s="19" t="s">
        <v>389</v>
      </c>
      <c r="E18" s="20" t="s">
        <v>17</v>
      </c>
      <c r="F18" s="21" t="s">
        <v>33</v>
      </c>
      <c r="G18" s="22" t="s">
        <v>20</v>
      </c>
      <c r="H18" s="23" t="s">
        <v>34</v>
      </c>
    </row>
    <row r="19" spans="2:13" s="1" customFormat="1" x14ac:dyDescent="0.15">
      <c r="B19" s="13" t="s">
        <v>1</v>
      </c>
      <c r="C19" s="14" t="s">
        <v>0</v>
      </c>
      <c r="D19" s="29" t="s">
        <v>59</v>
      </c>
      <c r="E19" s="30"/>
      <c r="F19" s="31"/>
      <c r="G19" s="15" t="s">
        <v>57</v>
      </c>
      <c r="H19" s="16" t="s">
        <v>35</v>
      </c>
    </row>
    <row r="20" spans="2:13" s="1" customFormat="1" x14ac:dyDescent="0.15">
      <c r="B20" s="32">
        <v>200002</v>
      </c>
      <c r="C20" s="2" t="s">
        <v>2</v>
      </c>
      <c r="D20" s="9">
        <f>ROUND(C12*880,0)</f>
        <v>9240</v>
      </c>
      <c r="E20" s="3" t="s">
        <v>3</v>
      </c>
      <c r="F20" s="11">
        <f>ROUND(C12*476,0)</f>
        <v>4998</v>
      </c>
      <c r="G20" s="4" t="s">
        <v>8</v>
      </c>
      <c r="H20" s="17" t="s">
        <v>23</v>
      </c>
    </row>
    <row r="21" spans="2:13" s="1" customFormat="1" ht="13.5" customHeight="1" x14ac:dyDescent="0.15">
      <c r="B21" s="33"/>
      <c r="C21" s="5" t="s">
        <v>4</v>
      </c>
      <c r="D21" s="9">
        <f>ROUND(C12*680,0)</f>
        <v>7140</v>
      </c>
      <c r="E21" s="6" t="s">
        <v>5</v>
      </c>
      <c r="F21" s="11">
        <f>ROUND(C12*880,0)</f>
        <v>9240</v>
      </c>
      <c r="G21" s="35">
        <v>100</v>
      </c>
      <c r="H21" s="17"/>
    </row>
    <row r="22" spans="2:13" s="1" customFormat="1" ht="13.5" customHeight="1" x14ac:dyDescent="0.15">
      <c r="B22" s="33"/>
      <c r="C22" s="7" t="s">
        <v>6</v>
      </c>
      <c r="D22" s="10">
        <v>7</v>
      </c>
      <c r="E22" s="8" t="s">
        <v>7</v>
      </c>
      <c r="F22" s="12">
        <f>ROUND(C12*480,0)</f>
        <v>5040</v>
      </c>
      <c r="G22" s="36"/>
      <c r="H22" s="17"/>
    </row>
    <row r="23" spans="2:13" s="1" customFormat="1" ht="14.25" thickBot="1" x14ac:dyDescent="0.2">
      <c r="B23" s="34"/>
      <c r="C23" s="18" t="s">
        <v>16</v>
      </c>
      <c r="D23" s="19" t="s">
        <v>390</v>
      </c>
      <c r="E23" s="20" t="s">
        <v>17</v>
      </c>
      <c r="F23" s="21" t="s">
        <v>294</v>
      </c>
      <c r="G23" s="22" t="s">
        <v>20</v>
      </c>
      <c r="H23" s="23" t="s">
        <v>37</v>
      </c>
    </row>
    <row r="24" spans="2:13" s="1" customFormat="1" x14ac:dyDescent="0.15">
      <c r="B24" s="13" t="s">
        <v>1</v>
      </c>
      <c r="C24" s="14" t="s">
        <v>0</v>
      </c>
      <c r="D24" s="29" t="s">
        <v>60</v>
      </c>
      <c r="E24" s="30"/>
      <c r="F24" s="31"/>
      <c r="G24" s="15" t="s">
        <v>57</v>
      </c>
      <c r="H24" s="16" t="s">
        <v>38</v>
      </c>
    </row>
    <row r="25" spans="2:13" s="1" customFormat="1" x14ac:dyDescent="0.15">
      <c r="B25" s="32">
        <v>200003</v>
      </c>
      <c r="C25" s="2" t="s">
        <v>2</v>
      </c>
      <c r="D25" s="9">
        <f>ROUND(C12*880,0)</f>
        <v>9240</v>
      </c>
      <c r="E25" s="3" t="s">
        <v>3</v>
      </c>
      <c r="F25" s="11">
        <f>ROUND(C12*476,0)</f>
        <v>4998</v>
      </c>
      <c r="G25" s="4" t="s">
        <v>8</v>
      </c>
      <c r="H25" s="17" t="s">
        <v>24</v>
      </c>
    </row>
    <row r="26" spans="2:13" s="1" customFormat="1" ht="13.5" customHeight="1" x14ac:dyDescent="0.15">
      <c r="B26" s="33"/>
      <c r="C26" s="5" t="s">
        <v>4</v>
      </c>
      <c r="D26" s="9">
        <f>ROUND(C12*680,0)</f>
        <v>7140</v>
      </c>
      <c r="E26" s="6" t="s">
        <v>5</v>
      </c>
      <c r="F26" s="11">
        <f>ROUND(C12*880,0)</f>
        <v>9240</v>
      </c>
      <c r="G26" s="35">
        <v>50</v>
      </c>
      <c r="H26" s="17"/>
    </row>
    <row r="27" spans="2:13" s="1" customFormat="1" ht="13.5" customHeight="1" x14ac:dyDescent="0.15">
      <c r="B27" s="33"/>
      <c r="C27" s="7" t="s">
        <v>6</v>
      </c>
      <c r="D27" s="10">
        <v>7</v>
      </c>
      <c r="E27" s="8" t="s">
        <v>7</v>
      </c>
      <c r="F27" s="12">
        <f>ROUND(C12*530,0)</f>
        <v>5565</v>
      </c>
      <c r="G27" s="36"/>
      <c r="H27" s="17"/>
    </row>
    <row r="28" spans="2:13" s="1" customFormat="1" ht="14.25" thickBot="1" x14ac:dyDescent="0.2">
      <c r="B28" s="34"/>
      <c r="C28" s="18" t="s">
        <v>16</v>
      </c>
      <c r="D28" s="19" t="s">
        <v>39</v>
      </c>
      <c r="E28" s="20" t="s">
        <v>17</v>
      </c>
      <c r="F28" s="21" t="s">
        <v>56</v>
      </c>
      <c r="G28" s="22" t="s">
        <v>20</v>
      </c>
      <c r="H28" s="23" t="s">
        <v>37</v>
      </c>
    </row>
    <row r="29" spans="2:13" s="1" customFormat="1" x14ac:dyDescent="0.15">
      <c r="B29" s="13" t="s">
        <v>1</v>
      </c>
      <c r="C29" s="14" t="s">
        <v>0</v>
      </c>
      <c r="D29" s="29" t="s">
        <v>61</v>
      </c>
      <c r="E29" s="30"/>
      <c r="F29" s="31"/>
      <c r="G29" s="15" t="s">
        <v>57</v>
      </c>
      <c r="H29" s="16" t="s">
        <v>41</v>
      </c>
    </row>
    <row r="30" spans="2:13" s="1" customFormat="1" x14ac:dyDescent="0.15">
      <c r="B30" s="32">
        <v>200004</v>
      </c>
      <c r="C30" s="2" t="s">
        <v>2</v>
      </c>
      <c r="D30" s="9">
        <f>ROUND(C12*880,0)</f>
        <v>9240</v>
      </c>
      <c r="E30" s="3" t="s">
        <v>3</v>
      </c>
      <c r="F30" s="11">
        <f>ROUND(C12*980,0)</f>
        <v>10290</v>
      </c>
      <c r="G30" s="4" t="s">
        <v>8</v>
      </c>
      <c r="H30" s="17" t="s">
        <v>25</v>
      </c>
    </row>
    <row r="31" spans="2:13" s="1" customFormat="1" ht="13.5" customHeight="1" x14ac:dyDescent="0.15">
      <c r="B31" s="33"/>
      <c r="C31" s="5" t="s">
        <v>4</v>
      </c>
      <c r="D31" s="9">
        <f>ROUND(C12*680,0)</f>
        <v>7140</v>
      </c>
      <c r="E31" s="6" t="s">
        <v>5</v>
      </c>
      <c r="F31" s="11">
        <f>ROUND(C12*1936,0)</f>
        <v>20328</v>
      </c>
      <c r="G31" s="35">
        <v>100</v>
      </c>
      <c r="H31" s="17"/>
    </row>
    <row r="32" spans="2:13" s="1" customFormat="1" ht="13.5" customHeight="1" x14ac:dyDescent="0.15">
      <c r="B32" s="33"/>
      <c r="C32" s="7" t="s">
        <v>6</v>
      </c>
      <c r="D32" s="10">
        <v>4</v>
      </c>
      <c r="E32" s="8" t="s">
        <v>7</v>
      </c>
      <c r="F32" s="12">
        <f>ROUND(C12*530,0)</f>
        <v>5565</v>
      </c>
      <c r="G32" s="36"/>
      <c r="H32" s="17"/>
    </row>
    <row r="33" spans="2:8" s="1" customFormat="1" ht="14.25" thickBot="1" x14ac:dyDescent="0.2">
      <c r="B33" s="34"/>
      <c r="C33" s="18" t="s">
        <v>16</v>
      </c>
      <c r="D33" s="19" t="s">
        <v>42</v>
      </c>
      <c r="E33" s="20" t="s">
        <v>17</v>
      </c>
      <c r="F33" s="21" t="s">
        <v>85</v>
      </c>
      <c r="G33" s="22" t="s">
        <v>20</v>
      </c>
      <c r="H33" s="23" t="s">
        <v>37</v>
      </c>
    </row>
    <row r="34" spans="2:8" s="1" customFormat="1" x14ac:dyDescent="0.15">
      <c r="B34" s="13" t="s">
        <v>1</v>
      </c>
      <c r="C34" s="14" t="s">
        <v>0</v>
      </c>
      <c r="D34" s="29" t="s">
        <v>62</v>
      </c>
      <c r="E34" s="30"/>
      <c r="F34" s="31"/>
      <c r="G34" s="15" t="s">
        <v>57</v>
      </c>
      <c r="H34" s="16" t="s">
        <v>44</v>
      </c>
    </row>
    <row r="35" spans="2:8" s="1" customFormat="1" x14ac:dyDescent="0.15">
      <c r="B35" s="32">
        <v>200005</v>
      </c>
      <c r="C35" s="2" t="s">
        <v>2</v>
      </c>
      <c r="D35" s="9">
        <f>ROUND(C12*880,0)</f>
        <v>9240</v>
      </c>
      <c r="E35" s="3" t="s">
        <v>3</v>
      </c>
      <c r="F35" s="11">
        <f>ROUND(C12*476,0)</f>
        <v>4998</v>
      </c>
      <c r="G35" s="4" t="s">
        <v>8</v>
      </c>
      <c r="H35" s="17" t="s">
        <v>26</v>
      </c>
    </row>
    <row r="36" spans="2:8" s="1" customFormat="1" ht="13.5" customHeight="1" x14ac:dyDescent="0.15">
      <c r="B36" s="33"/>
      <c r="C36" s="5" t="s">
        <v>4</v>
      </c>
      <c r="D36" s="9">
        <f>ROUND(C12*680,0)</f>
        <v>7140</v>
      </c>
      <c r="E36" s="6" t="s">
        <v>5</v>
      </c>
      <c r="F36" s="11">
        <f>ROUND(C12*880,0)</f>
        <v>9240</v>
      </c>
      <c r="G36" s="35">
        <v>100</v>
      </c>
      <c r="H36" s="17"/>
    </row>
    <row r="37" spans="2:8" s="1" customFormat="1" ht="13.5" customHeight="1" x14ac:dyDescent="0.15">
      <c r="B37" s="33"/>
      <c r="C37" s="7" t="s">
        <v>6</v>
      </c>
      <c r="D37" s="10">
        <v>7</v>
      </c>
      <c r="E37" s="8" t="s">
        <v>7</v>
      </c>
      <c r="F37" s="12">
        <f>ROUND(C12*530,0)</f>
        <v>5565</v>
      </c>
      <c r="G37" s="36"/>
      <c r="H37" s="17"/>
    </row>
    <row r="38" spans="2:8" s="1" customFormat="1" ht="14.25" thickBot="1" x14ac:dyDescent="0.2">
      <c r="B38" s="34"/>
      <c r="C38" s="18" t="s">
        <v>16</v>
      </c>
      <c r="D38" s="19" t="s">
        <v>244</v>
      </c>
      <c r="E38" s="20" t="s">
        <v>17</v>
      </c>
      <c r="F38" s="21" t="s">
        <v>36</v>
      </c>
      <c r="G38" s="22" t="s">
        <v>20</v>
      </c>
      <c r="H38" s="23" t="s">
        <v>37</v>
      </c>
    </row>
    <row r="39" spans="2:8" s="1" customFormat="1" x14ac:dyDescent="0.15">
      <c r="B39" s="13" t="s">
        <v>1</v>
      </c>
      <c r="C39" s="14" t="s">
        <v>0</v>
      </c>
      <c r="D39" s="29" t="s">
        <v>63</v>
      </c>
      <c r="E39" s="30"/>
      <c r="F39" s="31"/>
      <c r="G39" s="15" t="s">
        <v>57</v>
      </c>
      <c r="H39" s="16" t="s">
        <v>46</v>
      </c>
    </row>
    <row r="40" spans="2:8" s="1" customFormat="1" x14ac:dyDescent="0.15">
      <c r="B40" s="32">
        <v>200006</v>
      </c>
      <c r="C40" s="2" t="s">
        <v>2</v>
      </c>
      <c r="D40" s="9">
        <f>ROUND(C12*880,0)</f>
        <v>9240</v>
      </c>
      <c r="E40" s="3" t="s">
        <v>3</v>
      </c>
      <c r="F40" s="11">
        <f>ROUND(C12*980,0)</f>
        <v>10290</v>
      </c>
      <c r="G40" s="4" t="s">
        <v>8</v>
      </c>
      <c r="H40" s="17" t="s">
        <v>27</v>
      </c>
    </row>
    <row r="41" spans="2:8" s="1" customFormat="1" ht="13.5" customHeight="1" x14ac:dyDescent="0.15">
      <c r="B41" s="33"/>
      <c r="C41" s="5" t="s">
        <v>4</v>
      </c>
      <c r="D41" s="9">
        <f>ROUND(C12*680,0)</f>
        <v>7140</v>
      </c>
      <c r="E41" s="6" t="s">
        <v>5</v>
      </c>
      <c r="F41" s="11">
        <f>ROUND(C12*1936,0)</f>
        <v>20328</v>
      </c>
      <c r="G41" s="35">
        <v>100</v>
      </c>
      <c r="H41" s="17"/>
    </row>
    <row r="42" spans="2:8" s="1" customFormat="1" ht="13.5" customHeight="1" x14ac:dyDescent="0.15">
      <c r="B42" s="33"/>
      <c r="C42" s="7" t="s">
        <v>6</v>
      </c>
      <c r="D42" s="10">
        <v>4</v>
      </c>
      <c r="E42" s="8" t="s">
        <v>7</v>
      </c>
      <c r="F42" s="12">
        <f>ROUND(C12*530,0)</f>
        <v>5565</v>
      </c>
      <c r="G42" s="36"/>
      <c r="H42" s="17"/>
    </row>
    <row r="43" spans="2:8" s="1" customFormat="1" ht="14.25" thickBot="1" x14ac:dyDescent="0.2">
      <c r="B43" s="34"/>
      <c r="C43" s="18" t="s">
        <v>16</v>
      </c>
      <c r="D43" s="19" t="s">
        <v>391</v>
      </c>
      <c r="E43" s="20" t="s">
        <v>17</v>
      </c>
      <c r="F43" s="21" t="s">
        <v>392</v>
      </c>
      <c r="G43" s="22" t="s">
        <v>20</v>
      </c>
      <c r="H43" s="23" t="s">
        <v>37</v>
      </c>
    </row>
    <row r="44" spans="2:8" s="1" customFormat="1" x14ac:dyDescent="0.15">
      <c r="B44" s="13" t="s">
        <v>1</v>
      </c>
      <c r="C44" s="14" t="s">
        <v>0</v>
      </c>
      <c r="D44" s="29" t="s">
        <v>64</v>
      </c>
      <c r="E44" s="30"/>
      <c r="F44" s="31"/>
      <c r="G44" s="15" t="s">
        <v>57</v>
      </c>
      <c r="H44" s="16" t="s">
        <v>47</v>
      </c>
    </row>
    <row r="45" spans="2:8" s="1" customFormat="1" x14ac:dyDescent="0.15">
      <c r="B45" s="32">
        <v>200007</v>
      </c>
      <c r="C45" s="2" t="s">
        <v>2</v>
      </c>
      <c r="D45" s="9">
        <f>ROUND(C12*880,0)</f>
        <v>9240</v>
      </c>
      <c r="E45" s="3" t="s">
        <v>3</v>
      </c>
      <c r="F45" s="11">
        <f>ROUND(C12*476,0)</f>
        <v>4998</v>
      </c>
      <c r="G45" s="4" t="s">
        <v>8</v>
      </c>
      <c r="H45" s="17" t="s">
        <v>28</v>
      </c>
    </row>
    <row r="46" spans="2:8" s="1" customFormat="1" ht="13.5" customHeight="1" x14ac:dyDescent="0.15">
      <c r="B46" s="33"/>
      <c r="C46" s="5" t="s">
        <v>4</v>
      </c>
      <c r="D46" s="9">
        <f>ROUND(C12*680,0)</f>
        <v>7140</v>
      </c>
      <c r="E46" s="6" t="s">
        <v>5</v>
      </c>
      <c r="F46" s="11">
        <f>ROUND(C12*880,0)</f>
        <v>9240</v>
      </c>
      <c r="G46" s="35">
        <v>50</v>
      </c>
      <c r="H46" s="17"/>
    </row>
    <row r="47" spans="2:8" s="1" customFormat="1" ht="13.5" customHeight="1" x14ac:dyDescent="0.15">
      <c r="B47" s="33"/>
      <c r="C47" s="7" t="s">
        <v>6</v>
      </c>
      <c r="D47" s="10">
        <v>7</v>
      </c>
      <c r="E47" s="8" t="s">
        <v>7</v>
      </c>
      <c r="F47" s="12">
        <f>ROUND(C12*480,0)</f>
        <v>5040</v>
      </c>
      <c r="G47" s="36"/>
      <c r="H47" s="17"/>
    </row>
    <row r="48" spans="2:8" s="1" customFormat="1" ht="14.25" thickBot="1" x14ac:dyDescent="0.2">
      <c r="B48" s="34"/>
      <c r="C48" s="18" t="s">
        <v>16</v>
      </c>
      <c r="D48" s="19" t="s">
        <v>376</v>
      </c>
      <c r="E48" s="20" t="s">
        <v>17</v>
      </c>
      <c r="F48" s="21" t="s">
        <v>49</v>
      </c>
      <c r="G48" s="22" t="s">
        <v>20</v>
      </c>
      <c r="H48" s="23" t="s">
        <v>34</v>
      </c>
    </row>
    <row r="49" spans="2:8" s="1" customFormat="1" x14ac:dyDescent="0.15">
      <c r="B49" s="13" t="s">
        <v>1</v>
      </c>
      <c r="C49" s="14" t="s">
        <v>0</v>
      </c>
      <c r="D49" s="29" t="s">
        <v>65</v>
      </c>
      <c r="E49" s="30"/>
      <c r="F49" s="31"/>
      <c r="G49" s="15" t="s">
        <v>57</v>
      </c>
      <c r="H49" s="16" t="s">
        <v>50</v>
      </c>
    </row>
    <row r="50" spans="2:8" s="1" customFormat="1" x14ac:dyDescent="0.15">
      <c r="B50" s="32">
        <v>200008</v>
      </c>
      <c r="C50" s="2" t="s">
        <v>2</v>
      </c>
      <c r="D50" s="9">
        <f>ROUND(C12*880,0)</f>
        <v>9240</v>
      </c>
      <c r="E50" s="3" t="s">
        <v>3</v>
      </c>
      <c r="F50" s="11">
        <f>ROUND(C12*476,0)</f>
        <v>4998</v>
      </c>
      <c r="G50" s="4" t="s">
        <v>8</v>
      </c>
      <c r="H50" s="17" t="s">
        <v>29</v>
      </c>
    </row>
    <row r="51" spans="2:8" s="1" customFormat="1" ht="13.5" customHeight="1" x14ac:dyDescent="0.15">
      <c r="B51" s="33"/>
      <c r="C51" s="5" t="s">
        <v>4</v>
      </c>
      <c r="D51" s="9">
        <f>ROUND(C12*680,0)</f>
        <v>7140</v>
      </c>
      <c r="E51" s="6" t="s">
        <v>5</v>
      </c>
      <c r="F51" s="11">
        <f>ROUND(C12*880,0)</f>
        <v>9240</v>
      </c>
      <c r="G51" s="35">
        <v>100</v>
      </c>
      <c r="H51" s="17"/>
    </row>
    <row r="52" spans="2:8" s="1" customFormat="1" ht="13.5" customHeight="1" x14ac:dyDescent="0.15">
      <c r="B52" s="33"/>
      <c r="C52" s="7" t="s">
        <v>6</v>
      </c>
      <c r="D52" s="10">
        <v>7</v>
      </c>
      <c r="E52" s="8" t="s">
        <v>7</v>
      </c>
      <c r="F52" s="12">
        <f>ROUND(C12*530,0)</f>
        <v>5565</v>
      </c>
      <c r="G52" s="36"/>
      <c r="H52" s="17"/>
    </row>
    <row r="53" spans="2:8" s="1" customFormat="1" ht="14.25" thickBot="1" x14ac:dyDescent="0.2">
      <c r="B53" s="34"/>
      <c r="C53" s="18" t="s">
        <v>16</v>
      </c>
      <c r="D53" s="19" t="s">
        <v>393</v>
      </c>
      <c r="E53" s="20" t="s">
        <v>17</v>
      </c>
      <c r="F53" s="21" t="s">
        <v>52</v>
      </c>
      <c r="G53" s="22" t="s">
        <v>20</v>
      </c>
      <c r="H53" s="23" t="s">
        <v>37</v>
      </c>
    </row>
    <row r="54" spans="2:8" s="1" customFormat="1" x14ac:dyDescent="0.15">
      <c r="B54" s="13" t="s">
        <v>1</v>
      </c>
      <c r="C54" s="14" t="s">
        <v>0</v>
      </c>
      <c r="D54" s="29" t="s">
        <v>66</v>
      </c>
      <c r="E54" s="30"/>
      <c r="F54" s="31"/>
      <c r="G54" s="15" t="s">
        <v>57</v>
      </c>
      <c r="H54" s="16" t="s">
        <v>53</v>
      </c>
    </row>
    <row r="55" spans="2:8" s="1" customFormat="1" x14ac:dyDescent="0.15">
      <c r="B55" s="32">
        <v>200009</v>
      </c>
      <c r="C55" s="2" t="s">
        <v>2</v>
      </c>
      <c r="D55" s="9">
        <f>ROUND(C12*880,0)</f>
        <v>9240</v>
      </c>
      <c r="E55" s="3" t="s">
        <v>3</v>
      </c>
      <c r="F55" s="11">
        <f>ROUND(C12*476,0)</f>
        <v>4998</v>
      </c>
      <c r="G55" s="4" t="s">
        <v>8</v>
      </c>
      <c r="H55" s="17" t="s">
        <v>394</v>
      </c>
    </row>
    <row r="56" spans="2:8" s="1" customFormat="1" ht="13.5" customHeight="1" x14ac:dyDescent="0.15">
      <c r="B56" s="33"/>
      <c r="C56" s="5" t="s">
        <v>4</v>
      </c>
      <c r="D56" s="9">
        <f>ROUND(C12*680,0)</f>
        <v>7140</v>
      </c>
      <c r="E56" s="6" t="s">
        <v>5</v>
      </c>
      <c r="F56" s="11">
        <f>ROUND(C12*880,0)</f>
        <v>9240</v>
      </c>
      <c r="G56" s="35">
        <v>30</v>
      </c>
      <c r="H56" s="17"/>
    </row>
    <row r="57" spans="2:8" s="1" customFormat="1" ht="13.5" customHeight="1" x14ac:dyDescent="0.15">
      <c r="B57" s="33"/>
      <c r="C57" s="7" t="s">
        <v>6</v>
      </c>
      <c r="D57" s="10">
        <v>7</v>
      </c>
      <c r="E57" s="8" t="s">
        <v>7</v>
      </c>
      <c r="F57" s="12">
        <f>ROUND(C12*370,0)</f>
        <v>3885</v>
      </c>
      <c r="G57" s="36"/>
      <c r="H57" s="17"/>
    </row>
    <row r="58" spans="2:8" s="1" customFormat="1" ht="14.25" thickBot="1" x14ac:dyDescent="0.2">
      <c r="B58" s="34"/>
      <c r="C58" s="18" t="s">
        <v>16</v>
      </c>
      <c r="D58" s="19" t="s">
        <v>382</v>
      </c>
      <c r="E58" s="20" t="s">
        <v>17</v>
      </c>
      <c r="F58" s="21" t="s">
        <v>45</v>
      </c>
      <c r="G58" s="22" t="s">
        <v>20</v>
      </c>
      <c r="H58" s="23" t="s">
        <v>34</v>
      </c>
    </row>
    <row r="59" spans="2:8" s="1" customFormat="1" x14ac:dyDescent="0.15">
      <c r="B59" s="13" t="s">
        <v>1</v>
      </c>
      <c r="C59" s="14" t="s">
        <v>0</v>
      </c>
      <c r="D59" s="29" t="s">
        <v>67</v>
      </c>
      <c r="E59" s="30"/>
      <c r="F59" s="31"/>
      <c r="G59" s="15" t="s">
        <v>57</v>
      </c>
      <c r="H59" s="16" t="s">
        <v>55</v>
      </c>
    </row>
    <row r="60" spans="2:8" s="1" customFormat="1" x14ac:dyDescent="0.15">
      <c r="B60" s="32">
        <v>200010</v>
      </c>
      <c r="C60" s="2" t="s">
        <v>2</v>
      </c>
      <c r="D60" s="9">
        <f>ROUND(C12*880,0)</f>
        <v>9240</v>
      </c>
      <c r="E60" s="3" t="s">
        <v>3</v>
      </c>
      <c r="F60" s="11">
        <f>ROUND(C12*980,0)</f>
        <v>10290</v>
      </c>
      <c r="G60" s="4" t="s">
        <v>8</v>
      </c>
      <c r="H60" s="17" t="s">
        <v>30</v>
      </c>
    </row>
    <row r="61" spans="2:8" s="1" customFormat="1" ht="13.5" customHeight="1" x14ac:dyDescent="0.15">
      <c r="B61" s="33"/>
      <c r="C61" s="5" t="s">
        <v>4</v>
      </c>
      <c r="D61" s="9">
        <f>ROUND(C12*680,0)</f>
        <v>7140</v>
      </c>
      <c r="E61" s="6" t="s">
        <v>5</v>
      </c>
      <c r="F61" s="11">
        <f>ROUND(C12*1936,0)</f>
        <v>20328</v>
      </c>
      <c r="G61" s="35">
        <v>100</v>
      </c>
      <c r="H61" s="17"/>
    </row>
    <row r="62" spans="2:8" s="1" customFormat="1" ht="13.5" customHeight="1" x14ac:dyDescent="0.15">
      <c r="B62" s="33"/>
      <c r="C62" s="7" t="s">
        <v>6</v>
      </c>
      <c r="D62" s="10">
        <v>4</v>
      </c>
      <c r="E62" s="8" t="s">
        <v>7</v>
      </c>
      <c r="F62" s="12">
        <f>ROUND(C12*370,0)</f>
        <v>3885</v>
      </c>
      <c r="G62" s="36"/>
      <c r="H62" s="17"/>
    </row>
    <row r="63" spans="2:8" s="1" customFormat="1" ht="14.25" thickBot="1" x14ac:dyDescent="0.2">
      <c r="B63" s="34"/>
      <c r="C63" s="18" t="s">
        <v>16</v>
      </c>
      <c r="D63" s="19" t="s">
        <v>395</v>
      </c>
      <c r="E63" s="20" t="s">
        <v>17</v>
      </c>
      <c r="F63" s="21" t="s">
        <v>396</v>
      </c>
      <c r="G63" s="22" t="s">
        <v>20</v>
      </c>
      <c r="H63" s="23" t="s">
        <v>37</v>
      </c>
    </row>
    <row r="64" spans="2:8" s="1" customFormat="1" x14ac:dyDescent="0.15">
      <c r="B64" s="13" t="s">
        <v>1</v>
      </c>
      <c r="C64" s="14" t="s">
        <v>0</v>
      </c>
      <c r="D64" s="29" t="s">
        <v>68</v>
      </c>
      <c r="E64" s="30"/>
      <c r="F64" s="31"/>
      <c r="G64" s="15" t="s">
        <v>57</v>
      </c>
      <c r="H64" s="16" t="s">
        <v>69</v>
      </c>
    </row>
    <row r="65" spans="2:8" s="1" customFormat="1" x14ac:dyDescent="0.15">
      <c r="B65" s="32">
        <v>200011</v>
      </c>
      <c r="C65" s="2" t="s">
        <v>2</v>
      </c>
      <c r="D65" s="9">
        <f>ROUND(C12*880,0)</f>
        <v>9240</v>
      </c>
      <c r="E65" s="3" t="s">
        <v>3</v>
      </c>
      <c r="F65" s="11">
        <f>ROUND(C12*476,0)</f>
        <v>4998</v>
      </c>
      <c r="G65" s="4" t="s">
        <v>8</v>
      </c>
      <c r="H65" s="17" t="s">
        <v>70</v>
      </c>
    </row>
    <row r="66" spans="2:8" s="1" customFormat="1" ht="13.5" customHeight="1" x14ac:dyDescent="0.15">
      <c r="B66" s="33"/>
      <c r="C66" s="5" t="s">
        <v>4</v>
      </c>
      <c r="D66" s="9">
        <f>ROUND(C12*680,0)</f>
        <v>7140</v>
      </c>
      <c r="E66" s="6" t="s">
        <v>5</v>
      </c>
      <c r="F66" s="11">
        <f>ROUND(C12*880,0)</f>
        <v>9240</v>
      </c>
      <c r="G66" s="35">
        <v>50</v>
      </c>
      <c r="H66" s="17"/>
    </row>
    <row r="67" spans="2:8" s="1" customFormat="1" ht="13.5" customHeight="1" x14ac:dyDescent="0.15">
      <c r="B67" s="33"/>
      <c r="C67" s="7" t="s">
        <v>6</v>
      </c>
      <c r="D67" s="10">
        <v>7</v>
      </c>
      <c r="E67" s="8" t="s">
        <v>7</v>
      </c>
      <c r="F67" s="12">
        <f>ROUND(C12*370,0)</f>
        <v>3885</v>
      </c>
      <c r="G67" s="36"/>
      <c r="H67" s="17"/>
    </row>
    <row r="68" spans="2:8" s="1" customFormat="1" ht="14.25" thickBot="1" x14ac:dyDescent="0.2">
      <c r="B68" s="34"/>
      <c r="C68" s="18" t="s">
        <v>16</v>
      </c>
      <c r="D68" s="19" t="s">
        <v>393</v>
      </c>
      <c r="E68" s="20" t="s">
        <v>17</v>
      </c>
      <c r="F68" s="21" t="s">
        <v>397</v>
      </c>
      <c r="G68" s="22" t="s">
        <v>20</v>
      </c>
      <c r="H68" s="23" t="s">
        <v>72</v>
      </c>
    </row>
    <row r="69" spans="2:8" s="1" customFormat="1" x14ac:dyDescent="0.15">
      <c r="B69" s="13" t="s">
        <v>1</v>
      </c>
      <c r="C69" s="14" t="s">
        <v>0</v>
      </c>
      <c r="D69" s="29" t="s">
        <v>73</v>
      </c>
      <c r="E69" s="30"/>
      <c r="F69" s="31"/>
      <c r="G69" s="15" t="s">
        <v>57</v>
      </c>
      <c r="H69" s="16" t="s">
        <v>74</v>
      </c>
    </row>
    <row r="70" spans="2:8" s="1" customFormat="1" x14ac:dyDescent="0.15">
      <c r="B70" s="32">
        <v>200012</v>
      </c>
      <c r="C70" s="2" t="s">
        <v>2</v>
      </c>
      <c r="D70" s="9">
        <f>ROUND(C12*880,0)</f>
        <v>9240</v>
      </c>
      <c r="E70" s="3" t="s">
        <v>3</v>
      </c>
      <c r="F70" s="11">
        <f>ROUND(C12*476,0)</f>
        <v>4998</v>
      </c>
      <c r="G70" s="4" t="s">
        <v>8</v>
      </c>
      <c r="H70" s="17" t="s">
        <v>75</v>
      </c>
    </row>
    <row r="71" spans="2:8" s="1" customFormat="1" ht="13.5" customHeight="1" x14ac:dyDescent="0.15">
      <c r="B71" s="33"/>
      <c r="C71" s="5" t="s">
        <v>4</v>
      </c>
      <c r="D71" s="9">
        <f>ROUND(C12*680,0)</f>
        <v>7140</v>
      </c>
      <c r="E71" s="6" t="s">
        <v>5</v>
      </c>
      <c r="F71" s="11">
        <f>ROUND(C12*880,0)</f>
        <v>9240</v>
      </c>
      <c r="G71" s="35">
        <v>100</v>
      </c>
      <c r="H71" s="17"/>
    </row>
    <row r="72" spans="2:8" s="1" customFormat="1" ht="13.5" customHeight="1" x14ac:dyDescent="0.15">
      <c r="B72" s="33"/>
      <c r="C72" s="7" t="s">
        <v>6</v>
      </c>
      <c r="D72" s="10">
        <v>7</v>
      </c>
      <c r="E72" s="8" t="s">
        <v>7</v>
      </c>
      <c r="F72" s="12">
        <f>ROUND(C12*370,0)</f>
        <v>3885</v>
      </c>
      <c r="G72" s="36"/>
      <c r="H72" s="17"/>
    </row>
    <row r="73" spans="2:8" s="1" customFormat="1" ht="14.25" thickBot="1" x14ac:dyDescent="0.2">
      <c r="B73" s="34"/>
      <c r="C73" s="18" t="s">
        <v>16</v>
      </c>
      <c r="D73" s="19" t="s">
        <v>389</v>
      </c>
      <c r="E73" s="20" t="s">
        <v>17</v>
      </c>
      <c r="F73" s="21" t="s">
        <v>33</v>
      </c>
      <c r="G73" s="22" t="s">
        <v>20</v>
      </c>
      <c r="H73" s="23" t="s">
        <v>37</v>
      </c>
    </row>
    <row r="74" spans="2:8" s="1" customFormat="1" x14ac:dyDescent="0.15">
      <c r="B74" s="13" t="s">
        <v>1</v>
      </c>
      <c r="C74" s="14" t="s">
        <v>0</v>
      </c>
      <c r="D74" s="29" t="s">
        <v>76</v>
      </c>
      <c r="E74" s="30"/>
      <c r="F74" s="31"/>
      <c r="G74" s="15" t="s">
        <v>57</v>
      </c>
      <c r="H74" s="16" t="s">
        <v>77</v>
      </c>
    </row>
    <row r="75" spans="2:8" s="1" customFormat="1" x14ac:dyDescent="0.15">
      <c r="B75" s="32">
        <v>200013</v>
      </c>
      <c r="C75" s="2" t="s">
        <v>2</v>
      </c>
      <c r="D75" s="9">
        <f>ROUND(C12*880,0)</f>
        <v>9240</v>
      </c>
      <c r="E75" s="3" t="s">
        <v>3</v>
      </c>
      <c r="F75" s="11">
        <f>ROUND(C12*980,0)</f>
        <v>10290</v>
      </c>
      <c r="G75" s="4" t="s">
        <v>8</v>
      </c>
      <c r="H75" s="17" t="s">
        <v>78</v>
      </c>
    </row>
    <row r="76" spans="2:8" s="1" customFormat="1" ht="13.5" customHeight="1" x14ac:dyDescent="0.15">
      <c r="B76" s="33"/>
      <c r="C76" s="5" t="s">
        <v>4</v>
      </c>
      <c r="D76" s="9">
        <f>ROUND(C12*680,0)</f>
        <v>7140</v>
      </c>
      <c r="E76" s="6" t="s">
        <v>5</v>
      </c>
      <c r="F76" s="11">
        <f>ROUND(C12*1936,0)</f>
        <v>20328</v>
      </c>
      <c r="G76" s="35">
        <v>100</v>
      </c>
      <c r="H76" s="17"/>
    </row>
    <row r="77" spans="2:8" s="1" customFormat="1" ht="13.5" customHeight="1" x14ac:dyDescent="0.15">
      <c r="B77" s="33"/>
      <c r="C77" s="7" t="s">
        <v>6</v>
      </c>
      <c r="D77" s="10">
        <v>4</v>
      </c>
      <c r="E77" s="8" t="s">
        <v>7</v>
      </c>
      <c r="F77" s="12">
        <f>ROUND(C12*370,0)</f>
        <v>3885</v>
      </c>
      <c r="G77" s="36"/>
      <c r="H77" s="17"/>
    </row>
    <row r="78" spans="2:8" s="1" customFormat="1" ht="14.25" thickBot="1" x14ac:dyDescent="0.2">
      <c r="B78" s="34"/>
      <c r="C78" s="18" t="s">
        <v>16</v>
      </c>
      <c r="D78" s="19" t="s">
        <v>244</v>
      </c>
      <c r="E78" s="20" t="s">
        <v>17</v>
      </c>
      <c r="F78" s="21" t="s">
        <v>36</v>
      </c>
      <c r="G78" s="22" t="s">
        <v>20</v>
      </c>
      <c r="H78" s="23" t="s">
        <v>37</v>
      </c>
    </row>
    <row r="79" spans="2:8" s="1" customFormat="1" x14ac:dyDescent="0.15">
      <c r="B79" s="13" t="s">
        <v>1</v>
      </c>
      <c r="C79" s="14" t="s">
        <v>0</v>
      </c>
      <c r="D79" s="29" t="s">
        <v>79</v>
      </c>
      <c r="E79" s="30"/>
      <c r="F79" s="31"/>
      <c r="G79" s="15" t="s">
        <v>57</v>
      </c>
      <c r="H79" s="16" t="s">
        <v>80</v>
      </c>
    </row>
    <row r="80" spans="2:8" s="1" customFormat="1" x14ac:dyDescent="0.15">
      <c r="B80" s="32">
        <v>200014</v>
      </c>
      <c r="C80" s="2" t="s">
        <v>2</v>
      </c>
      <c r="D80" s="9">
        <f>ROUND(C12*880,0)</f>
        <v>9240</v>
      </c>
      <c r="E80" s="3" t="s">
        <v>3</v>
      </c>
      <c r="F80" s="11">
        <f>ROUND(C12*476,0)</f>
        <v>4998</v>
      </c>
      <c r="G80" s="4" t="s">
        <v>8</v>
      </c>
      <c r="H80" s="17" t="s">
        <v>81</v>
      </c>
    </row>
    <row r="81" spans="2:8" s="1" customFormat="1" ht="13.5" customHeight="1" x14ac:dyDescent="0.15">
      <c r="B81" s="33"/>
      <c r="C81" s="5" t="s">
        <v>4</v>
      </c>
      <c r="D81" s="9">
        <f>ROUND(C12*680,0)</f>
        <v>7140</v>
      </c>
      <c r="E81" s="6" t="s">
        <v>5</v>
      </c>
      <c r="F81" s="11">
        <f>ROUND(C12*880,0)</f>
        <v>9240</v>
      </c>
      <c r="G81" s="35">
        <v>100</v>
      </c>
      <c r="H81" s="17"/>
    </row>
    <row r="82" spans="2:8" s="1" customFormat="1" ht="13.5" customHeight="1" x14ac:dyDescent="0.15">
      <c r="B82" s="33"/>
      <c r="C82" s="7" t="s">
        <v>6</v>
      </c>
      <c r="D82" s="10">
        <v>7</v>
      </c>
      <c r="E82" s="8" t="s">
        <v>7</v>
      </c>
      <c r="F82" s="12">
        <f>ROUND(C12*370,0)</f>
        <v>3885</v>
      </c>
      <c r="G82" s="36"/>
      <c r="H82" s="17"/>
    </row>
    <row r="83" spans="2:8" s="1" customFormat="1" ht="14.25" thickBot="1" x14ac:dyDescent="0.2">
      <c r="B83" s="34"/>
      <c r="C83" s="18" t="s">
        <v>16</v>
      </c>
      <c r="D83" s="19" t="s">
        <v>393</v>
      </c>
      <c r="E83" s="20" t="s">
        <v>17</v>
      </c>
      <c r="F83" s="21" t="s">
        <v>54</v>
      </c>
      <c r="G83" s="22" t="s">
        <v>20</v>
      </c>
      <c r="H83" s="23" t="s">
        <v>37</v>
      </c>
    </row>
    <row r="84" spans="2:8" s="1" customFormat="1" x14ac:dyDescent="0.15">
      <c r="B84" s="13" t="s">
        <v>1</v>
      </c>
      <c r="C84" s="14" t="s">
        <v>0</v>
      </c>
      <c r="D84" s="29" t="s">
        <v>83</v>
      </c>
      <c r="E84" s="30"/>
      <c r="F84" s="31"/>
      <c r="G84" s="15" t="s">
        <v>57</v>
      </c>
      <c r="H84" s="16" t="s">
        <v>84</v>
      </c>
    </row>
    <row r="85" spans="2:8" s="1" customFormat="1" x14ac:dyDescent="0.15">
      <c r="B85" s="32">
        <v>200015</v>
      </c>
      <c r="C85" s="2" t="s">
        <v>2</v>
      </c>
      <c r="D85" s="9">
        <f>ROUND(C12*880,0)</f>
        <v>9240</v>
      </c>
      <c r="E85" s="3" t="s">
        <v>3</v>
      </c>
      <c r="F85" s="11">
        <f>ROUND(C12*476,0)</f>
        <v>4998</v>
      </c>
      <c r="G85" s="4" t="s">
        <v>8</v>
      </c>
      <c r="H85" s="17" t="s">
        <v>398</v>
      </c>
    </row>
    <row r="86" spans="2:8" s="1" customFormat="1" ht="13.5" customHeight="1" x14ac:dyDescent="0.15">
      <c r="B86" s="33"/>
      <c r="C86" s="5" t="s">
        <v>4</v>
      </c>
      <c r="D86" s="9">
        <f>ROUND(C12*680,0)</f>
        <v>7140</v>
      </c>
      <c r="E86" s="6" t="s">
        <v>5</v>
      </c>
      <c r="F86" s="11">
        <f>ROUND(C12*880,0)</f>
        <v>9240</v>
      </c>
      <c r="G86" s="35">
        <v>50</v>
      </c>
      <c r="H86" s="17"/>
    </row>
    <row r="87" spans="2:8" s="1" customFormat="1" ht="13.5" customHeight="1" x14ac:dyDescent="0.15">
      <c r="B87" s="33"/>
      <c r="C87" s="7" t="s">
        <v>6</v>
      </c>
      <c r="D87" s="10">
        <v>7</v>
      </c>
      <c r="E87" s="8" t="s">
        <v>7</v>
      </c>
      <c r="F87" s="12">
        <f>ROUND(C12*480,0)</f>
        <v>5040</v>
      </c>
      <c r="G87" s="36"/>
      <c r="H87" s="17"/>
    </row>
    <row r="88" spans="2:8" s="1" customFormat="1" ht="14.25" thickBot="1" x14ac:dyDescent="0.2">
      <c r="B88" s="34"/>
      <c r="C88" s="18" t="s">
        <v>16</v>
      </c>
      <c r="D88" s="19" t="s">
        <v>399</v>
      </c>
      <c r="E88" s="20" t="s">
        <v>17</v>
      </c>
      <c r="F88" s="21" t="s">
        <v>257</v>
      </c>
      <c r="G88" s="22" t="s">
        <v>20</v>
      </c>
      <c r="H88" s="23" t="s">
        <v>37</v>
      </c>
    </row>
    <row r="89" spans="2:8" s="1" customFormat="1" x14ac:dyDescent="0.15">
      <c r="B89" s="13" t="s">
        <v>1</v>
      </c>
      <c r="C89" s="14" t="s">
        <v>0</v>
      </c>
      <c r="D89" s="29" t="s">
        <v>86</v>
      </c>
      <c r="E89" s="30"/>
      <c r="F89" s="31"/>
      <c r="G89" s="15" t="s">
        <v>57</v>
      </c>
      <c r="H89" s="16" t="s">
        <v>35</v>
      </c>
    </row>
    <row r="90" spans="2:8" s="1" customFormat="1" x14ac:dyDescent="0.15">
      <c r="B90" s="32">
        <v>200016</v>
      </c>
      <c r="C90" s="2" t="s">
        <v>2</v>
      </c>
      <c r="D90" s="9">
        <f>ROUND(C12*880,0)</f>
        <v>9240</v>
      </c>
      <c r="E90" s="3" t="s">
        <v>3</v>
      </c>
      <c r="F90" s="11">
        <f>ROUND(C12*980,0)</f>
        <v>10290</v>
      </c>
      <c r="G90" s="4" t="s">
        <v>8</v>
      </c>
      <c r="H90" s="17" t="s">
        <v>23</v>
      </c>
    </row>
    <row r="91" spans="2:8" s="1" customFormat="1" ht="13.5" customHeight="1" x14ac:dyDescent="0.15">
      <c r="B91" s="33"/>
      <c r="C91" s="5" t="s">
        <v>4</v>
      </c>
      <c r="D91" s="9">
        <f>ROUND(C12*680,0)</f>
        <v>7140</v>
      </c>
      <c r="E91" s="6" t="s">
        <v>5</v>
      </c>
      <c r="F91" s="11">
        <f>ROUND(C12*1936,0)</f>
        <v>20328</v>
      </c>
      <c r="G91" s="35">
        <v>100</v>
      </c>
      <c r="H91" s="17"/>
    </row>
    <row r="92" spans="2:8" s="1" customFormat="1" ht="13.5" customHeight="1" x14ac:dyDescent="0.15">
      <c r="B92" s="33"/>
      <c r="C92" s="7" t="s">
        <v>6</v>
      </c>
      <c r="D92" s="10">
        <v>4</v>
      </c>
      <c r="E92" s="8" t="s">
        <v>7</v>
      </c>
      <c r="F92" s="12">
        <f>ROUND(C12*530,0)</f>
        <v>5565</v>
      </c>
      <c r="G92" s="36"/>
      <c r="H92" s="17"/>
    </row>
    <row r="93" spans="2:8" s="1" customFormat="1" ht="14.25" thickBot="1" x14ac:dyDescent="0.2">
      <c r="B93" s="34"/>
      <c r="C93" s="18" t="s">
        <v>16</v>
      </c>
      <c r="D93" s="19" t="s">
        <v>400</v>
      </c>
      <c r="E93" s="20" t="s">
        <v>17</v>
      </c>
      <c r="F93" s="21" t="s">
        <v>36</v>
      </c>
      <c r="G93" s="22" t="s">
        <v>20</v>
      </c>
      <c r="H93" s="23" t="s">
        <v>37</v>
      </c>
    </row>
    <row r="94" spans="2:8" s="1" customFormat="1" x14ac:dyDescent="0.15">
      <c r="B94" s="13" t="s">
        <v>1</v>
      </c>
      <c r="C94" s="14" t="s">
        <v>0</v>
      </c>
      <c r="D94" s="29" t="s">
        <v>87</v>
      </c>
      <c r="E94" s="30"/>
      <c r="F94" s="31"/>
      <c r="G94" s="15" t="s">
        <v>57</v>
      </c>
      <c r="H94" s="16" t="s">
        <v>88</v>
      </c>
    </row>
    <row r="95" spans="2:8" s="1" customFormat="1" x14ac:dyDescent="0.15">
      <c r="B95" s="32">
        <v>200017</v>
      </c>
      <c r="C95" s="2" t="s">
        <v>2</v>
      </c>
      <c r="D95" s="9">
        <f>ROUND(C12*880,0)</f>
        <v>9240</v>
      </c>
      <c r="E95" s="3" t="s">
        <v>3</v>
      </c>
      <c r="F95" s="11">
        <f>ROUND(C12*476,0)</f>
        <v>4998</v>
      </c>
      <c r="G95" s="4" t="s">
        <v>8</v>
      </c>
      <c r="H95" s="17" t="s">
        <v>89</v>
      </c>
    </row>
    <row r="96" spans="2:8" s="1" customFormat="1" ht="13.5" customHeight="1" x14ac:dyDescent="0.15">
      <c r="B96" s="33"/>
      <c r="C96" s="5" t="s">
        <v>4</v>
      </c>
      <c r="D96" s="9">
        <f>ROUND(C12*680,0)</f>
        <v>7140</v>
      </c>
      <c r="E96" s="6" t="s">
        <v>5</v>
      </c>
      <c r="F96" s="11">
        <f>ROUND(C12*880,0)</f>
        <v>9240</v>
      </c>
      <c r="G96" s="35">
        <v>50</v>
      </c>
      <c r="H96" s="17"/>
    </row>
    <row r="97" spans="2:8" s="1" customFormat="1" ht="13.5" customHeight="1" x14ac:dyDescent="0.15">
      <c r="B97" s="33"/>
      <c r="C97" s="7" t="s">
        <v>6</v>
      </c>
      <c r="D97" s="10">
        <v>7</v>
      </c>
      <c r="E97" s="8" t="s">
        <v>7</v>
      </c>
      <c r="F97" s="12">
        <f>ROUND(C12*530,0)</f>
        <v>5565</v>
      </c>
      <c r="G97" s="36"/>
      <c r="H97" s="17"/>
    </row>
    <row r="98" spans="2:8" s="1" customFormat="1" ht="14.25" thickBot="1" x14ac:dyDescent="0.2">
      <c r="B98" s="34"/>
      <c r="C98" s="18" t="s">
        <v>16</v>
      </c>
      <c r="D98" s="19" t="s">
        <v>380</v>
      </c>
      <c r="E98" s="20" t="s">
        <v>17</v>
      </c>
      <c r="F98" s="21" t="s">
        <v>257</v>
      </c>
      <c r="G98" s="22" t="s">
        <v>20</v>
      </c>
      <c r="H98" s="23" t="s">
        <v>37</v>
      </c>
    </row>
    <row r="99" spans="2:8" s="1" customFormat="1" x14ac:dyDescent="0.15">
      <c r="B99" s="13" t="s">
        <v>1</v>
      </c>
      <c r="C99" s="14" t="s">
        <v>0</v>
      </c>
      <c r="D99" s="29" t="s">
        <v>90</v>
      </c>
      <c r="E99" s="30"/>
      <c r="F99" s="31"/>
      <c r="G99" s="15" t="s">
        <v>57</v>
      </c>
      <c r="H99" s="16" t="s">
        <v>91</v>
      </c>
    </row>
    <row r="100" spans="2:8" s="1" customFormat="1" x14ac:dyDescent="0.15">
      <c r="B100" s="32">
        <v>200018</v>
      </c>
      <c r="C100" s="2" t="s">
        <v>2</v>
      </c>
      <c r="D100" s="9">
        <f>ROUND(C12*880,0)</f>
        <v>9240</v>
      </c>
      <c r="E100" s="3" t="s">
        <v>3</v>
      </c>
      <c r="F100" s="11">
        <f>ROUND(C12*476,0)</f>
        <v>4998</v>
      </c>
      <c r="G100" s="4" t="s">
        <v>8</v>
      </c>
      <c r="H100" s="17" t="s">
        <v>92</v>
      </c>
    </row>
    <row r="101" spans="2:8" s="1" customFormat="1" ht="13.5" customHeight="1" x14ac:dyDescent="0.15">
      <c r="B101" s="33"/>
      <c r="C101" s="5" t="s">
        <v>4</v>
      </c>
      <c r="D101" s="9">
        <f>ROUND(C12*680,0)</f>
        <v>7140</v>
      </c>
      <c r="E101" s="6" t="s">
        <v>5</v>
      </c>
      <c r="F101" s="11">
        <f>ROUND(C12*880,0)</f>
        <v>9240</v>
      </c>
      <c r="G101" s="35">
        <v>100</v>
      </c>
      <c r="H101" s="17"/>
    </row>
    <row r="102" spans="2:8" s="1" customFormat="1" ht="13.5" customHeight="1" x14ac:dyDescent="0.15">
      <c r="B102" s="33"/>
      <c r="C102" s="7" t="s">
        <v>6</v>
      </c>
      <c r="D102" s="10">
        <v>7</v>
      </c>
      <c r="E102" s="8" t="s">
        <v>7</v>
      </c>
      <c r="F102" s="12">
        <f>ROUND(C12*480,0)</f>
        <v>5040</v>
      </c>
      <c r="G102" s="36"/>
      <c r="H102" s="17"/>
    </row>
    <row r="103" spans="2:8" s="1" customFormat="1" ht="14.25" thickBot="1" x14ac:dyDescent="0.2">
      <c r="B103" s="34"/>
      <c r="C103" s="18" t="s">
        <v>16</v>
      </c>
      <c r="D103" s="19" t="s">
        <v>244</v>
      </c>
      <c r="E103" s="20" t="s">
        <v>17</v>
      </c>
      <c r="F103" s="21" t="s">
        <v>93</v>
      </c>
      <c r="G103" s="22" t="s">
        <v>20</v>
      </c>
      <c r="H103" s="23" t="s">
        <v>37</v>
      </c>
    </row>
    <row r="104" spans="2:8" s="1" customFormat="1" x14ac:dyDescent="0.15">
      <c r="B104" s="13" t="s">
        <v>1</v>
      </c>
      <c r="C104" s="14" t="s">
        <v>0</v>
      </c>
      <c r="D104" s="29" t="s">
        <v>94</v>
      </c>
      <c r="E104" s="30"/>
      <c r="F104" s="31"/>
      <c r="G104" s="15" t="s">
        <v>57</v>
      </c>
      <c r="H104" s="16" t="s">
        <v>95</v>
      </c>
    </row>
    <row r="105" spans="2:8" s="1" customFormat="1" x14ac:dyDescent="0.15">
      <c r="B105" s="32">
        <v>200019</v>
      </c>
      <c r="C105" s="2" t="s">
        <v>2</v>
      </c>
      <c r="D105" s="9">
        <f>ROUND(C12*880,0)</f>
        <v>9240</v>
      </c>
      <c r="E105" s="3" t="s">
        <v>3</v>
      </c>
      <c r="F105" s="11">
        <f>ROUND(C12*476,0)</f>
        <v>4998</v>
      </c>
      <c r="G105" s="4" t="s">
        <v>8</v>
      </c>
      <c r="H105" s="17" t="s">
        <v>96</v>
      </c>
    </row>
    <row r="106" spans="2:8" s="1" customFormat="1" ht="13.5" customHeight="1" x14ac:dyDescent="0.15">
      <c r="B106" s="33"/>
      <c r="C106" s="5" t="s">
        <v>4</v>
      </c>
      <c r="D106" s="9">
        <f>ROUND(C12*680,0)</f>
        <v>7140</v>
      </c>
      <c r="E106" s="6" t="s">
        <v>5</v>
      </c>
      <c r="F106" s="11">
        <f>ROUND(C12*880,0)</f>
        <v>9240</v>
      </c>
      <c r="G106" s="35">
        <v>50</v>
      </c>
      <c r="H106" s="17"/>
    </row>
    <row r="107" spans="2:8" s="1" customFormat="1" ht="13.5" customHeight="1" x14ac:dyDescent="0.15">
      <c r="B107" s="33"/>
      <c r="C107" s="7" t="s">
        <v>6</v>
      </c>
      <c r="D107" s="10">
        <v>7</v>
      </c>
      <c r="E107" s="8" t="s">
        <v>7</v>
      </c>
      <c r="F107" s="12">
        <f>ROUND(C12*480,0)</f>
        <v>5040</v>
      </c>
      <c r="G107" s="36"/>
      <c r="H107" s="17"/>
    </row>
    <row r="108" spans="2:8" s="1" customFormat="1" ht="14.25" thickBot="1" x14ac:dyDescent="0.2">
      <c r="B108" s="34"/>
      <c r="C108" s="18" t="s">
        <v>16</v>
      </c>
      <c r="D108" s="19" t="s">
        <v>401</v>
      </c>
      <c r="E108" s="20" t="s">
        <v>17</v>
      </c>
      <c r="F108" s="21" t="s">
        <v>294</v>
      </c>
      <c r="G108" s="22" t="s">
        <v>20</v>
      </c>
      <c r="H108" s="23" t="s">
        <v>72</v>
      </c>
    </row>
    <row r="109" spans="2:8" s="1" customFormat="1" x14ac:dyDescent="0.15">
      <c r="B109" s="13" t="s">
        <v>1</v>
      </c>
      <c r="C109" s="14" t="s">
        <v>0</v>
      </c>
      <c r="D109" s="29" t="s">
        <v>97</v>
      </c>
      <c r="E109" s="30"/>
      <c r="F109" s="31"/>
      <c r="G109" s="15" t="s">
        <v>57</v>
      </c>
      <c r="H109" s="16" t="s">
        <v>98</v>
      </c>
    </row>
    <row r="110" spans="2:8" s="1" customFormat="1" x14ac:dyDescent="0.15">
      <c r="B110" s="32">
        <v>200020</v>
      </c>
      <c r="C110" s="2" t="s">
        <v>2</v>
      </c>
      <c r="D110" s="9">
        <f>ROUND(C12*880,0)</f>
        <v>9240</v>
      </c>
      <c r="E110" s="3" t="s">
        <v>3</v>
      </c>
      <c r="F110" s="11">
        <f>ROUND(C12*980,0)</f>
        <v>10290</v>
      </c>
      <c r="G110" s="4" t="s">
        <v>8</v>
      </c>
      <c r="H110" s="17" t="s">
        <v>99</v>
      </c>
    </row>
    <row r="111" spans="2:8" s="1" customFormat="1" ht="13.5" customHeight="1" x14ac:dyDescent="0.15">
      <c r="B111" s="33"/>
      <c r="C111" s="5" t="s">
        <v>4</v>
      </c>
      <c r="D111" s="9">
        <f>ROUND(C12*680,0)</f>
        <v>7140</v>
      </c>
      <c r="E111" s="6" t="s">
        <v>5</v>
      </c>
      <c r="F111" s="11">
        <f>ROUND(C12*1936,0)</f>
        <v>20328</v>
      </c>
      <c r="G111" s="35">
        <v>100</v>
      </c>
      <c r="H111" s="17"/>
    </row>
    <row r="112" spans="2:8" s="1" customFormat="1" ht="13.5" customHeight="1" x14ac:dyDescent="0.15">
      <c r="B112" s="33"/>
      <c r="C112" s="7" t="s">
        <v>6</v>
      </c>
      <c r="D112" s="10">
        <v>4</v>
      </c>
      <c r="E112" s="8" t="s">
        <v>7</v>
      </c>
      <c r="F112" s="12">
        <f>ROUND(C12*370,0)</f>
        <v>3885</v>
      </c>
      <c r="G112" s="36"/>
      <c r="H112" s="17"/>
    </row>
    <row r="113" spans="2:8" s="1" customFormat="1" ht="14.25" thickBot="1" x14ac:dyDescent="0.2">
      <c r="B113" s="34"/>
      <c r="C113" s="18" t="s">
        <v>16</v>
      </c>
      <c r="D113" s="19" t="s">
        <v>402</v>
      </c>
      <c r="E113" s="20" t="s">
        <v>17</v>
      </c>
      <c r="F113" s="21" t="s">
        <v>100</v>
      </c>
      <c r="G113" s="22" t="s">
        <v>20</v>
      </c>
      <c r="H113" s="23" t="s">
        <v>37</v>
      </c>
    </row>
    <row r="114" spans="2:8" s="1" customFormat="1" x14ac:dyDescent="0.15">
      <c r="B114" s="13" t="s">
        <v>1</v>
      </c>
      <c r="C114" s="14" t="s">
        <v>0</v>
      </c>
      <c r="D114" s="29" t="s">
        <v>101</v>
      </c>
      <c r="E114" s="30"/>
      <c r="F114" s="31"/>
      <c r="G114" s="15" t="s">
        <v>57</v>
      </c>
      <c r="H114" s="16" t="s">
        <v>41</v>
      </c>
    </row>
    <row r="115" spans="2:8" s="1" customFormat="1" x14ac:dyDescent="0.15">
      <c r="B115" s="32">
        <v>200021</v>
      </c>
      <c r="C115" s="2" t="s">
        <v>2</v>
      </c>
      <c r="D115" s="9">
        <f>ROUND(C12*880,0)</f>
        <v>9240</v>
      </c>
      <c r="E115" s="3" t="s">
        <v>3</v>
      </c>
      <c r="F115" s="11">
        <f>ROUND(C12*476,0)</f>
        <v>4998</v>
      </c>
      <c r="G115" s="4" t="s">
        <v>8</v>
      </c>
      <c r="H115" s="17" t="s">
        <v>25</v>
      </c>
    </row>
    <row r="116" spans="2:8" s="1" customFormat="1" ht="13.5" customHeight="1" x14ac:dyDescent="0.15">
      <c r="B116" s="33"/>
      <c r="C116" s="5" t="s">
        <v>4</v>
      </c>
      <c r="D116" s="9">
        <f>ROUND(C12*680,0)</f>
        <v>7140</v>
      </c>
      <c r="E116" s="6" t="s">
        <v>5</v>
      </c>
      <c r="F116" s="11">
        <f>ROUND(C12*880,0)</f>
        <v>9240</v>
      </c>
      <c r="G116" s="35">
        <v>100</v>
      </c>
      <c r="H116" s="17"/>
    </row>
    <row r="117" spans="2:8" s="1" customFormat="1" ht="13.5" customHeight="1" x14ac:dyDescent="0.15">
      <c r="B117" s="33"/>
      <c r="C117" s="7" t="s">
        <v>6</v>
      </c>
      <c r="D117" s="10">
        <v>7</v>
      </c>
      <c r="E117" s="8" t="s">
        <v>7</v>
      </c>
      <c r="F117" s="12">
        <f>ROUND(C12*530,0)</f>
        <v>5565</v>
      </c>
      <c r="G117" s="36"/>
      <c r="H117" s="17"/>
    </row>
    <row r="118" spans="2:8" s="1" customFormat="1" ht="14.25" thickBot="1" x14ac:dyDescent="0.2">
      <c r="B118" s="34"/>
      <c r="C118" s="18" t="s">
        <v>16</v>
      </c>
      <c r="D118" s="19" t="s">
        <v>371</v>
      </c>
      <c r="E118" s="20" t="s">
        <v>17</v>
      </c>
      <c r="F118" s="21" t="s">
        <v>82</v>
      </c>
      <c r="G118" s="22" t="s">
        <v>20</v>
      </c>
      <c r="H118" s="23" t="s">
        <v>37</v>
      </c>
    </row>
    <row r="119" spans="2:8" s="1" customFormat="1" x14ac:dyDescent="0.15">
      <c r="B119" s="13" t="s">
        <v>1</v>
      </c>
      <c r="C119" s="14" t="s">
        <v>0</v>
      </c>
      <c r="D119" s="29" t="s">
        <v>102</v>
      </c>
      <c r="E119" s="30"/>
      <c r="F119" s="31"/>
      <c r="G119" s="15" t="s">
        <v>57</v>
      </c>
      <c r="H119" s="16" t="s">
        <v>50</v>
      </c>
    </row>
    <row r="120" spans="2:8" s="1" customFormat="1" x14ac:dyDescent="0.15">
      <c r="B120" s="32">
        <v>200022</v>
      </c>
      <c r="C120" s="2" t="s">
        <v>2</v>
      </c>
      <c r="D120" s="9">
        <f>ROUND(C12*880,0)</f>
        <v>9240</v>
      </c>
      <c r="E120" s="3" t="s">
        <v>3</v>
      </c>
      <c r="F120" s="11">
        <f>ROUND(C12*980,0)</f>
        <v>10290</v>
      </c>
      <c r="G120" s="4" t="s">
        <v>8</v>
      </c>
      <c r="H120" s="17" t="s">
        <v>29</v>
      </c>
    </row>
    <row r="121" spans="2:8" s="1" customFormat="1" ht="13.5" customHeight="1" x14ac:dyDescent="0.15">
      <c r="B121" s="33"/>
      <c r="C121" s="5" t="s">
        <v>4</v>
      </c>
      <c r="D121" s="9">
        <f>ROUND(C12*680,0)</f>
        <v>7140</v>
      </c>
      <c r="E121" s="6" t="s">
        <v>5</v>
      </c>
      <c r="F121" s="11">
        <f>ROUND(C12*1936,0)</f>
        <v>20328</v>
      </c>
      <c r="G121" s="35">
        <v>100</v>
      </c>
      <c r="H121" s="17"/>
    </row>
    <row r="122" spans="2:8" s="1" customFormat="1" ht="13.5" customHeight="1" x14ac:dyDescent="0.15">
      <c r="B122" s="33"/>
      <c r="C122" s="7" t="s">
        <v>6</v>
      </c>
      <c r="D122" s="10">
        <v>4</v>
      </c>
      <c r="E122" s="8" t="s">
        <v>7</v>
      </c>
      <c r="F122" s="12">
        <f>ROUND(C12*370,0)</f>
        <v>3885</v>
      </c>
      <c r="G122" s="36"/>
      <c r="H122" s="17"/>
    </row>
    <row r="123" spans="2:8" s="1" customFormat="1" ht="14.25" thickBot="1" x14ac:dyDescent="0.2">
      <c r="B123" s="34"/>
      <c r="C123" s="18" t="s">
        <v>16</v>
      </c>
      <c r="D123" s="19" t="s">
        <v>399</v>
      </c>
      <c r="E123" s="20" t="s">
        <v>17</v>
      </c>
      <c r="F123" s="21" t="s">
        <v>293</v>
      </c>
      <c r="G123" s="22" t="s">
        <v>20</v>
      </c>
      <c r="H123" s="23" t="s">
        <v>37</v>
      </c>
    </row>
    <row r="124" spans="2:8" s="1" customFormat="1" x14ac:dyDescent="0.15">
      <c r="B124" s="13" t="s">
        <v>1</v>
      </c>
      <c r="C124" s="14" t="s">
        <v>0</v>
      </c>
      <c r="D124" s="29" t="s">
        <v>103</v>
      </c>
      <c r="E124" s="30"/>
      <c r="F124" s="31"/>
      <c r="G124" s="15" t="s">
        <v>57</v>
      </c>
      <c r="H124" s="16" t="s">
        <v>104</v>
      </c>
    </row>
    <row r="125" spans="2:8" s="1" customFormat="1" x14ac:dyDescent="0.15">
      <c r="B125" s="32">
        <v>200023</v>
      </c>
      <c r="C125" s="2" t="s">
        <v>2</v>
      </c>
      <c r="D125" s="9">
        <f>ROUND(C12*880,0)</f>
        <v>9240</v>
      </c>
      <c r="E125" s="3" t="s">
        <v>3</v>
      </c>
      <c r="F125" s="11">
        <f>ROUND(C12*476,0)</f>
        <v>4998</v>
      </c>
      <c r="G125" s="4" t="s">
        <v>8</v>
      </c>
      <c r="H125" s="17" t="s">
        <v>105</v>
      </c>
    </row>
    <row r="126" spans="2:8" s="1" customFormat="1" ht="13.5" customHeight="1" x14ac:dyDescent="0.15">
      <c r="B126" s="33"/>
      <c r="C126" s="5" t="s">
        <v>4</v>
      </c>
      <c r="D126" s="9">
        <f>ROUND(C12*680,0)</f>
        <v>7140</v>
      </c>
      <c r="E126" s="6" t="s">
        <v>5</v>
      </c>
      <c r="F126" s="11">
        <f>ROUND(C12*880,0)</f>
        <v>9240</v>
      </c>
      <c r="G126" s="35">
        <v>50</v>
      </c>
      <c r="H126" s="17"/>
    </row>
    <row r="127" spans="2:8" s="1" customFormat="1" ht="13.5" customHeight="1" x14ac:dyDescent="0.15">
      <c r="B127" s="33"/>
      <c r="C127" s="7" t="s">
        <v>6</v>
      </c>
      <c r="D127" s="10">
        <v>7</v>
      </c>
      <c r="E127" s="8" t="s">
        <v>7</v>
      </c>
      <c r="F127" s="12">
        <f>ROUND(C12*530,0)</f>
        <v>5565</v>
      </c>
      <c r="G127" s="36"/>
      <c r="H127" s="17"/>
    </row>
    <row r="128" spans="2:8" s="1" customFormat="1" ht="14.25" thickBot="1" x14ac:dyDescent="0.2">
      <c r="B128" s="34"/>
      <c r="C128" s="18" t="s">
        <v>16</v>
      </c>
      <c r="D128" s="19" t="s">
        <v>380</v>
      </c>
      <c r="E128" s="20" t="s">
        <v>17</v>
      </c>
      <c r="F128" s="21" t="s">
        <v>51</v>
      </c>
      <c r="G128" s="22" t="s">
        <v>20</v>
      </c>
      <c r="H128" s="23" t="s">
        <v>106</v>
      </c>
    </row>
    <row r="129" spans="2:8" s="1" customFormat="1" x14ac:dyDescent="0.15">
      <c r="B129" s="13" t="s">
        <v>1</v>
      </c>
      <c r="C129" s="14" t="s">
        <v>0</v>
      </c>
      <c r="D129" s="29" t="s">
        <v>107</v>
      </c>
      <c r="E129" s="30"/>
      <c r="F129" s="31"/>
      <c r="G129" s="15" t="s">
        <v>57</v>
      </c>
      <c r="H129" s="16" t="s">
        <v>108</v>
      </c>
    </row>
    <row r="130" spans="2:8" s="1" customFormat="1" x14ac:dyDescent="0.15">
      <c r="B130" s="32">
        <v>200024</v>
      </c>
      <c r="C130" s="2" t="s">
        <v>2</v>
      </c>
      <c r="D130" s="9">
        <f>ROUND(C12*880,0)</f>
        <v>9240</v>
      </c>
      <c r="E130" s="3" t="s">
        <v>3</v>
      </c>
      <c r="F130" s="11">
        <f>ROUND(C12*476,0)</f>
        <v>4998</v>
      </c>
      <c r="G130" s="4" t="s">
        <v>8</v>
      </c>
      <c r="H130" s="17" t="s">
        <v>109</v>
      </c>
    </row>
    <row r="131" spans="2:8" s="1" customFormat="1" ht="13.5" customHeight="1" x14ac:dyDescent="0.15">
      <c r="B131" s="33"/>
      <c r="C131" s="5" t="s">
        <v>4</v>
      </c>
      <c r="D131" s="9">
        <f>ROUND(C12*680,0)</f>
        <v>7140</v>
      </c>
      <c r="E131" s="6" t="s">
        <v>5</v>
      </c>
      <c r="F131" s="11">
        <f>ROUND(C12*880,0)</f>
        <v>9240</v>
      </c>
      <c r="G131" s="35">
        <v>100</v>
      </c>
      <c r="H131" s="17"/>
    </row>
    <row r="132" spans="2:8" s="1" customFormat="1" ht="13.5" customHeight="1" x14ac:dyDescent="0.15">
      <c r="B132" s="33"/>
      <c r="C132" s="7" t="s">
        <v>6</v>
      </c>
      <c r="D132" s="10">
        <v>7</v>
      </c>
      <c r="E132" s="8" t="s">
        <v>7</v>
      </c>
      <c r="F132" s="12">
        <f>ROUND(C12*480,0)</f>
        <v>5040</v>
      </c>
      <c r="G132" s="36"/>
      <c r="H132" s="17"/>
    </row>
    <row r="133" spans="2:8" s="1" customFormat="1" ht="14.25" thickBot="1" x14ac:dyDescent="0.2">
      <c r="B133" s="34"/>
      <c r="C133" s="18" t="s">
        <v>16</v>
      </c>
      <c r="D133" s="19" t="s">
        <v>377</v>
      </c>
      <c r="E133" s="20" t="s">
        <v>17</v>
      </c>
      <c r="F133" s="21" t="s">
        <v>100</v>
      </c>
      <c r="G133" s="22" t="s">
        <v>20</v>
      </c>
      <c r="H133" s="23" t="s">
        <v>37</v>
      </c>
    </row>
    <row r="134" spans="2:8" s="1" customFormat="1" x14ac:dyDescent="0.15">
      <c r="B134" s="13" t="s">
        <v>1</v>
      </c>
      <c r="C134" s="14" t="s">
        <v>0</v>
      </c>
      <c r="D134" s="29" t="s">
        <v>110</v>
      </c>
      <c r="E134" s="30"/>
      <c r="F134" s="31"/>
      <c r="G134" s="15" t="s">
        <v>57</v>
      </c>
      <c r="H134" s="16" t="s">
        <v>111</v>
      </c>
    </row>
    <row r="135" spans="2:8" s="1" customFormat="1" x14ac:dyDescent="0.15">
      <c r="B135" s="32">
        <v>200025</v>
      </c>
      <c r="C135" s="2" t="s">
        <v>2</v>
      </c>
      <c r="D135" s="9">
        <f>ROUND(C12*880,0)</f>
        <v>9240</v>
      </c>
      <c r="E135" s="3" t="s">
        <v>3</v>
      </c>
      <c r="F135" s="11">
        <f>ROUND(C12*476,0)</f>
        <v>4998</v>
      </c>
      <c r="G135" s="4" t="s">
        <v>8</v>
      </c>
      <c r="H135" s="17" t="s">
        <v>112</v>
      </c>
    </row>
    <row r="136" spans="2:8" s="1" customFormat="1" ht="13.5" customHeight="1" x14ac:dyDescent="0.15">
      <c r="B136" s="33"/>
      <c r="C136" s="5" t="s">
        <v>4</v>
      </c>
      <c r="D136" s="9">
        <f>ROUND(C12*680,0)</f>
        <v>7140</v>
      </c>
      <c r="E136" s="6" t="s">
        <v>5</v>
      </c>
      <c r="F136" s="11">
        <f>ROUND(C12*880,0)</f>
        <v>9240</v>
      </c>
      <c r="G136" s="35">
        <v>100</v>
      </c>
      <c r="H136" s="17"/>
    </row>
    <row r="137" spans="2:8" s="1" customFormat="1" ht="13.5" customHeight="1" x14ac:dyDescent="0.15">
      <c r="B137" s="33"/>
      <c r="C137" s="7" t="s">
        <v>6</v>
      </c>
      <c r="D137" s="10">
        <v>7</v>
      </c>
      <c r="E137" s="8" t="s">
        <v>7</v>
      </c>
      <c r="F137" s="12">
        <f>ROUND(C12*370,0)</f>
        <v>3885</v>
      </c>
      <c r="G137" s="36"/>
      <c r="H137" s="17"/>
    </row>
    <row r="138" spans="2:8" s="1" customFormat="1" ht="14.25" thickBot="1" x14ac:dyDescent="0.2">
      <c r="B138" s="34"/>
      <c r="C138" s="18" t="s">
        <v>16</v>
      </c>
      <c r="D138" s="19" t="s">
        <v>377</v>
      </c>
      <c r="E138" s="20" t="s">
        <v>17</v>
      </c>
      <c r="F138" s="21" t="s">
        <v>56</v>
      </c>
      <c r="G138" s="22" t="s">
        <v>20</v>
      </c>
      <c r="H138" s="23" t="s">
        <v>114</v>
      </c>
    </row>
    <row r="139" spans="2:8" s="1" customFormat="1" x14ac:dyDescent="0.15">
      <c r="B139" s="13" t="s">
        <v>1</v>
      </c>
      <c r="C139" s="14" t="s">
        <v>0</v>
      </c>
      <c r="D139" s="29" t="s">
        <v>115</v>
      </c>
      <c r="E139" s="30"/>
      <c r="F139" s="31"/>
      <c r="G139" s="15" t="s">
        <v>57</v>
      </c>
      <c r="H139" s="16" t="s">
        <v>116</v>
      </c>
    </row>
    <row r="140" spans="2:8" s="1" customFormat="1" x14ac:dyDescent="0.15">
      <c r="B140" s="32">
        <v>200026</v>
      </c>
      <c r="C140" s="2" t="s">
        <v>2</v>
      </c>
      <c r="D140" s="9">
        <f>ROUND(C12*880,0)</f>
        <v>9240</v>
      </c>
      <c r="E140" s="3" t="s">
        <v>3</v>
      </c>
      <c r="F140" s="11">
        <f>ROUND(C12*980,0)</f>
        <v>10290</v>
      </c>
      <c r="G140" s="4" t="s">
        <v>8</v>
      </c>
      <c r="H140" s="17" t="s">
        <v>117</v>
      </c>
    </row>
    <row r="141" spans="2:8" s="1" customFormat="1" ht="13.5" customHeight="1" x14ac:dyDescent="0.15">
      <c r="B141" s="33"/>
      <c r="C141" s="5" t="s">
        <v>4</v>
      </c>
      <c r="D141" s="9">
        <f>ROUND(C12*680,0)</f>
        <v>7140</v>
      </c>
      <c r="E141" s="6" t="s">
        <v>5</v>
      </c>
      <c r="F141" s="11">
        <f>ROUND(C12*1936,0)</f>
        <v>20328</v>
      </c>
      <c r="G141" s="35">
        <v>100</v>
      </c>
      <c r="H141" s="17"/>
    </row>
    <row r="142" spans="2:8" s="1" customFormat="1" ht="13.5" customHeight="1" x14ac:dyDescent="0.15">
      <c r="B142" s="33"/>
      <c r="C142" s="7" t="s">
        <v>6</v>
      </c>
      <c r="D142" s="10">
        <v>4</v>
      </c>
      <c r="E142" s="8" t="s">
        <v>7</v>
      </c>
      <c r="F142" s="12">
        <f>ROUND(C12*530,0)</f>
        <v>5565</v>
      </c>
      <c r="G142" s="36"/>
      <c r="H142" s="17"/>
    </row>
    <row r="143" spans="2:8" s="1" customFormat="1" ht="14.25" thickBot="1" x14ac:dyDescent="0.2">
      <c r="B143" s="34"/>
      <c r="C143" s="18" t="s">
        <v>16</v>
      </c>
      <c r="D143" s="19" t="s">
        <v>376</v>
      </c>
      <c r="E143" s="20" t="s">
        <v>17</v>
      </c>
      <c r="F143" s="21" t="s">
        <v>49</v>
      </c>
      <c r="G143" s="22" t="s">
        <v>20</v>
      </c>
      <c r="H143" s="23" t="s">
        <v>37</v>
      </c>
    </row>
    <row r="144" spans="2:8" s="1" customFormat="1" x14ac:dyDescent="0.15">
      <c r="B144" s="13" t="s">
        <v>1</v>
      </c>
      <c r="C144" s="14" t="s">
        <v>0</v>
      </c>
      <c r="D144" s="29" t="s">
        <v>118</v>
      </c>
      <c r="E144" s="30"/>
      <c r="F144" s="31"/>
      <c r="G144" s="15" t="s">
        <v>57</v>
      </c>
      <c r="H144" s="16" t="s">
        <v>119</v>
      </c>
    </row>
    <row r="145" spans="2:8" s="1" customFormat="1" x14ac:dyDescent="0.15">
      <c r="B145" s="32">
        <v>200027</v>
      </c>
      <c r="C145" s="2" t="s">
        <v>2</v>
      </c>
      <c r="D145" s="9">
        <f>ROUND(C12*880,0)</f>
        <v>9240</v>
      </c>
      <c r="E145" s="3" t="s">
        <v>3</v>
      </c>
      <c r="F145" s="11">
        <f>ROUND(C12*476,0)</f>
        <v>4998</v>
      </c>
      <c r="G145" s="4" t="s">
        <v>8</v>
      </c>
      <c r="H145" s="17" t="s">
        <v>120</v>
      </c>
    </row>
    <row r="146" spans="2:8" s="1" customFormat="1" ht="13.5" customHeight="1" x14ac:dyDescent="0.15">
      <c r="B146" s="33"/>
      <c r="C146" s="5" t="s">
        <v>4</v>
      </c>
      <c r="D146" s="9">
        <f>ROUND(C12*680,0)</f>
        <v>7140</v>
      </c>
      <c r="E146" s="6" t="s">
        <v>5</v>
      </c>
      <c r="F146" s="11">
        <f>ROUND(C12*880,0)</f>
        <v>9240</v>
      </c>
      <c r="G146" s="35">
        <v>100</v>
      </c>
      <c r="H146" s="17"/>
    </row>
    <row r="147" spans="2:8" s="1" customFormat="1" ht="13.5" customHeight="1" x14ac:dyDescent="0.15">
      <c r="B147" s="33"/>
      <c r="C147" s="7" t="s">
        <v>6</v>
      </c>
      <c r="D147" s="10">
        <v>7</v>
      </c>
      <c r="E147" s="8" t="s">
        <v>7</v>
      </c>
      <c r="F147" s="12">
        <f>ROUND(C12*370,0)</f>
        <v>3885</v>
      </c>
      <c r="G147" s="36"/>
      <c r="H147" s="17"/>
    </row>
    <row r="148" spans="2:8" s="1" customFormat="1" ht="14.25" thickBot="1" x14ac:dyDescent="0.2">
      <c r="B148" s="34"/>
      <c r="C148" s="18" t="s">
        <v>16</v>
      </c>
      <c r="D148" s="19" t="s">
        <v>371</v>
      </c>
      <c r="E148" s="20" t="s">
        <v>17</v>
      </c>
      <c r="F148" s="21" t="s">
        <v>82</v>
      </c>
      <c r="G148" s="22" t="s">
        <v>20</v>
      </c>
      <c r="H148" s="23" t="s">
        <v>121</v>
      </c>
    </row>
    <row r="149" spans="2:8" s="1" customFormat="1" x14ac:dyDescent="0.15">
      <c r="B149" s="13" t="s">
        <v>1</v>
      </c>
      <c r="C149" s="14" t="s">
        <v>0</v>
      </c>
      <c r="D149" s="29" t="s">
        <v>122</v>
      </c>
      <c r="E149" s="30"/>
      <c r="F149" s="31"/>
      <c r="G149" s="15" t="s">
        <v>57</v>
      </c>
      <c r="H149" s="16" t="s">
        <v>55</v>
      </c>
    </row>
    <row r="150" spans="2:8" s="1" customFormat="1" x14ac:dyDescent="0.15">
      <c r="B150" s="32">
        <v>200028</v>
      </c>
      <c r="C150" s="2" t="s">
        <v>2</v>
      </c>
      <c r="D150" s="9">
        <f>ROUND(C12*880,0)</f>
        <v>9240</v>
      </c>
      <c r="E150" s="3" t="s">
        <v>3</v>
      </c>
      <c r="F150" s="11">
        <f>ROUND(C12*476,0)</f>
        <v>4998</v>
      </c>
      <c r="G150" s="4" t="s">
        <v>8</v>
      </c>
      <c r="H150" s="17" t="s">
        <v>30</v>
      </c>
    </row>
    <row r="151" spans="2:8" s="1" customFormat="1" ht="13.5" customHeight="1" x14ac:dyDescent="0.15">
      <c r="B151" s="33"/>
      <c r="C151" s="5" t="s">
        <v>4</v>
      </c>
      <c r="D151" s="9">
        <f>ROUND(C12*680,0)</f>
        <v>7140</v>
      </c>
      <c r="E151" s="6" t="s">
        <v>5</v>
      </c>
      <c r="F151" s="11">
        <f>ROUND(C12*880,0)</f>
        <v>9240</v>
      </c>
      <c r="G151" s="35">
        <v>100</v>
      </c>
      <c r="H151" s="17"/>
    </row>
    <row r="152" spans="2:8" s="1" customFormat="1" ht="13.5" customHeight="1" x14ac:dyDescent="0.15">
      <c r="B152" s="33"/>
      <c r="C152" s="7" t="s">
        <v>6</v>
      </c>
      <c r="D152" s="10">
        <v>7</v>
      </c>
      <c r="E152" s="8" t="s">
        <v>7</v>
      </c>
      <c r="F152" s="12">
        <f>ROUND(C12*480,0)</f>
        <v>5040</v>
      </c>
      <c r="G152" s="36"/>
      <c r="H152" s="17"/>
    </row>
    <row r="153" spans="2:8" s="1" customFormat="1" ht="14.25" thickBot="1" x14ac:dyDescent="0.2">
      <c r="B153" s="34"/>
      <c r="C153" s="18" t="s">
        <v>16</v>
      </c>
      <c r="D153" s="19" t="s">
        <v>390</v>
      </c>
      <c r="E153" s="20" t="s">
        <v>17</v>
      </c>
      <c r="F153" s="21" t="s">
        <v>396</v>
      </c>
      <c r="G153" s="22" t="s">
        <v>20</v>
      </c>
      <c r="H153" s="23" t="s">
        <v>37</v>
      </c>
    </row>
    <row r="154" spans="2:8" s="1" customFormat="1" x14ac:dyDescent="0.15">
      <c r="B154" s="13" t="s">
        <v>1</v>
      </c>
      <c r="C154" s="14" t="s">
        <v>0</v>
      </c>
      <c r="D154" s="29" t="s">
        <v>123</v>
      </c>
      <c r="E154" s="30"/>
      <c r="F154" s="31"/>
      <c r="G154" s="15" t="s">
        <v>57</v>
      </c>
      <c r="H154" s="16" t="s">
        <v>124</v>
      </c>
    </row>
    <row r="155" spans="2:8" s="1" customFormat="1" x14ac:dyDescent="0.15">
      <c r="B155" s="32">
        <v>200029</v>
      </c>
      <c r="C155" s="2" t="s">
        <v>2</v>
      </c>
      <c r="D155" s="9">
        <f>ROUND(C12*880,0)</f>
        <v>9240</v>
      </c>
      <c r="E155" s="3" t="s">
        <v>3</v>
      </c>
      <c r="F155" s="11">
        <f>ROUND(C12*476,0)</f>
        <v>4998</v>
      </c>
      <c r="G155" s="4" t="s">
        <v>8</v>
      </c>
      <c r="H155" s="17" t="s">
        <v>403</v>
      </c>
    </row>
    <row r="156" spans="2:8" s="1" customFormat="1" ht="13.5" customHeight="1" x14ac:dyDescent="0.15">
      <c r="B156" s="33"/>
      <c r="C156" s="5" t="s">
        <v>4</v>
      </c>
      <c r="D156" s="9">
        <f>ROUND(C12*680,0)</f>
        <v>7140</v>
      </c>
      <c r="E156" s="6" t="s">
        <v>5</v>
      </c>
      <c r="F156" s="11">
        <f>ROUND(C12*880,0)</f>
        <v>9240</v>
      </c>
      <c r="G156" s="35">
        <v>30</v>
      </c>
      <c r="H156" s="17"/>
    </row>
    <row r="157" spans="2:8" s="1" customFormat="1" ht="13.5" customHeight="1" x14ac:dyDescent="0.15">
      <c r="B157" s="33"/>
      <c r="C157" s="7" t="s">
        <v>6</v>
      </c>
      <c r="D157" s="10">
        <v>7</v>
      </c>
      <c r="E157" s="8" t="s">
        <v>7</v>
      </c>
      <c r="F157" s="12">
        <f>ROUND(C12*480,0)</f>
        <v>5040</v>
      </c>
      <c r="G157" s="36"/>
      <c r="H157" s="17"/>
    </row>
    <row r="158" spans="2:8" s="1" customFormat="1" ht="14.25" thickBot="1" x14ac:dyDescent="0.2">
      <c r="B158" s="34"/>
      <c r="C158" s="18" t="s">
        <v>16</v>
      </c>
      <c r="D158" s="19" t="s">
        <v>399</v>
      </c>
      <c r="E158" s="20" t="s">
        <v>17</v>
      </c>
      <c r="F158" s="21" t="s">
        <v>82</v>
      </c>
      <c r="G158" s="22" t="s">
        <v>20</v>
      </c>
      <c r="H158" s="23" t="s">
        <v>125</v>
      </c>
    </row>
    <row r="159" spans="2:8" s="1" customFormat="1" x14ac:dyDescent="0.15">
      <c r="B159" s="13" t="s">
        <v>1</v>
      </c>
      <c r="C159" s="14" t="s">
        <v>0</v>
      </c>
      <c r="D159" s="29" t="s">
        <v>126</v>
      </c>
      <c r="E159" s="30"/>
      <c r="F159" s="31"/>
      <c r="G159" s="15" t="s">
        <v>57</v>
      </c>
      <c r="H159" s="16" t="s">
        <v>80</v>
      </c>
    </row>
    <row r="160" spans="2:8" s="1" customFormat="1" x14ac:dyDescent="0.15">
      <c r="B160" s="32">
        <v>200030</v>
      </c>
      <c r="C160" s="2" t="s">
        <v>2</v>
      </c>
      <c r="D160" s="9">
        <f>ROUND(C12*880,0)</f>
        <v>9240</v>
      </c>
      <c r="E160" s="3" t="s">
        <v>3</v>
      </c>
      <c r="F160" s="11">
        <f>ROUND(C12*980,0)</f>
        <v>10290</v>
      </c>
      <c r="G160" s="4" t="s">
        <v>8</v>
      </c>
      <c r="H160" s="17" t="s">
        <v>81</v>
      </c>
    </row>
    <row r="161" spans="2:8" s="1" customFormat="1" ht="13.5" customHeight="1" x14ac:dyDescent="0.15">
      <c r="B161" s="33"/>
      <c r="C161" s="5" t="s">
        <v>4</v>
      </c>
      <c r="D161" s="9">
        <f>ROUND(C12*680,0)</f>
        <v>7140</v>
      </c>
      <c r="E161" s="6" t="s">
        <v>5</v>
      </c>
      <c r="F161" s="11">
        <f>ROUND(C12*1936,0)</f>
        <v>20328</v>
      </c>
      <c r="G161" s="35">
        <v>100</v>
      </c>
      <c r="H161" s="17"/>
    </row>
    <row r="162" spans="2:8" s="1" customFormat="1" ht="13.5" customHeight="1" x14ac:dyDescent="0.15">
      <c r="B162" s="33"/>
      <c r="C162" s="7" t="s">
        <v>6</v>
      </c>
      <c r="D162" s="10">
        <v>4</v>
      </c>
      <c r="E162" s="8" t="s">
        <v>7</v>
      </c>
      <c r="F162" s="12">
        <f>ROUND(C12*530,0)</f>
        <v>5565</v>
      </c>
      <c r="G162" s="36"/>
      <c r="H162" s="17"/>
    </row>
    <row r="163" spans="2:8" s="1" customFormat="1" ht="14.25" thickBot="1" x14ac:dyDescent="0.2">
      <c r="B163" s="34"/>
      <c r="C163" s="18" t="s">
        <v>16</v>
      </c>
      <c r="D163" s="19" t="s">
        <v>371</v>
      </c>
      <c r="E163" s="20" t="s">
        <v>17</v>
      </c>
      <c r="F163" s="21" t="s">
        <v>82</v>
      </c>
      <c r="G163" s="22" t="s">
        <v>20</v>
      </c>
      <c r="H163" s="23" t="s">
        <v>37</v>
      </c>
    </row>
    <row r="164" spans="2:8" s="1" customFormat="1" x14ac:dyDescent="0.15">
      <c r="B164" s="13" t="s">
        <v>1</v>
      </c>
      <c r="C164" s="14" t="s">
        <v>0</v>
      </c>
      <c r="D164" s="29" t="s">
        <v>127</v>
      </c>
      <c r="E164" s="30"/>
      <c r="F164" s="31"/>
      <c r="G164" s="15" t="s">
        <v>57</v>
      </c>
      <c r="H164" s="16" t="s">
        <v>128</v>
      </c>
    </row>
    <row r="165" spans="2:8" s="1" customFormat="1" x14ac:dyDescent="0.15">
      <c r="B165" s="32">
        <v>200031</v>
      </c>
      <c r="C165" s="2" t="s">
        <v>2</v>
      </c>
      <c r="D165" s="9">
        <f>ROUND(C12*880,0)</f>
        <v>9240</v>
      </c>
      <c r="E165" s="3" t="s">
        <v>3</v>
      </c>
      <c r="F165" s="11">
        <f>ROUND(C12*476,0)</f>
        <v>4998</v>
      </c>
      <c r="G165" s="4" t="s">
        <v>8</v>
      </c>
      <c r="H165" s="17" t="s">
        <v>129</v>
      </c>
    </row>
    <row r="166" spans="2:8" s="1" customFormat="1" ht="13.5" customHeight="1" x14ac:dyDescent="0.15">
      <c r="B166" s="33"/>
      <c r="C166" s="5" t="s">
        <v>4</v>
      </c>
      <c r="D166" s="9">
        <f>ROUND(C12*680,0)</f>
        <v>7140</v>
      </c>
      <c r="E166" s="6" t="s">
        <v>5</v>
      </c>
      <c r="F166" s="11">
        <f>ROUND(C12*880,0)</f>
        <v>9240</v>
      </c>
      <c r="G166" s="35">
        <v>100</v>
      </c>
      <c r="H166" s="17"/>
    </row>
    <row r="167" spans="2:8" s="1" customFormat="1" ht="13.5" customHeight="1" x14ac:dyDescent="0.15">
      <c r="B167" s="33"/>
      <c r="C167" s="7" t="s">
        <v>6</v>
      </c>
      <c r="D167" s="10">
        <v>7</v>
      </c>
      <c r="E167" s="8" t="s">
        <v>7</v>
      </c>
      <c r="F167" s="12">
        <f>ROUND(C12*370,0)</f>
        <v>3885</v>
      </c>
      <c r="G167" s="36"/>
      <c r="H167" s="17"/>
    </row>
    <row r="168" spans="2:8" s="1" customFormat="1" ht="14.25" thickBot="1" x14ac:dyDescent="0.2">
      <c r="B168" s="34"/>
      <c r="C168" s="18" t="s">
        <v>16</v>
      </c>
      <c r="D168" s="19" t="s">
        <v>402</v>
      </c>
      <c r="E168" s="20" t="s">
        <v>17</v>
      </c>
      <c r="F168" s="21" t="s">
        <v>100</v>
      </c>
      <c r="G168" s="22" t="s">
        <v>20</v>
      </c>
      <c r="H168" s="23" t="s">
        <v>37</v>
      </c>
    </row>
    <row r="169" spans="2:8" s="1" customFormat="1" x14ac:dyDescent="0.15">
      <c r="B169" s="13" t="s">
        <v>1</v>
      </c>
      <c r="C169" s="14" t="s">
        <v>0</v>
      </c>
      <c r="D169" s="29" t="s">
        <v>130</v>
      </c>
      <c r="E169" s="30"/>
      <c r="F169" s="31"/>
      <c r="G169" s="15" t="s">
        <v>57</v>
      </c>
      <c r="H169" s="16" t="s">
        <v>131</v>
      </c>
    </row>
    <row r="170" spans="2:8" s="1" customFormat="1" x14ac:dyDescent="0.15">
      <c r="B170" s="32">
        <v>200032</v>
      </c>
      <c r="C170" s="2" t="s">
        <v>2</v>
      </c>
      <c r="D170" s="9">
        <f>ROUND(C12*880,0)</f>
        <v>9240</v>
      </c>
      <c r="E170" s="3" t="s">
        <v>3</v>
      </c>
      <c r="F170" s="11">
        <f>ROUND(C12*980,0)</f>
        <v>10290</v>
      </c>
      <c r="G170" s="4" t="s">
        <v>8</v>
      </c>
      <c r="H170" s="17" t="s">
        <v>132</v>
      </c>
    </row>
    <row r="171" spans="2:8" s="1" customFormat="1" ht="13.5" customHeight="1" x14ac:dyDescent="0.15">
      <c r="B171" s="33"/>
      <c r="C171" s="5" t="s">
        <v>4</v>
      </c>
      <c r="D171" s="9">
        <f>ROUND(C12*680,0)</f>
        <v>7140</v>
      </c>
      <c r="E171" s="6" t="s">
        <v>5</v>
      </c>
      <c r="F171" s="11">
        <f>ROUND(C12*1936,0)</f>
        <v>20328</v>
      </c>
      <c r="G171" s="35">
        <v>100</v>
      </c>
      <c r="H171" s="17"/>
    </row>
    <row r="172" spans="2:8" s="1" customFormat="1" ht="13.5" customHeight="1" x14ac:dyDescent="0.15">
      <c r="B172" s="33"/>
      <c r="C172" s="7" t="s">
        <v>6</v>
      </c>
      <c r="D172" s="10">
        <v>4</v>
      </c>
      <c r="E172" s="8" t="s">
        <v>7</v>
      </c>
      <c r="F172" s="12">
        <f>ROUND(C12*530,0)</f>
        <v>5565</v>
      </c>
      <c r="G172" s="36"/>
      <c r="H172" s="17"/>
    </row>
    <row r="173" spans="2:8" s="1" customFormat="1" ht="14.25" thickBot="1" x14ac:dyDescent="0.2">
      <c r="B173" s="34"/>
      <c r="C173" s="18" t="s">
        <v>16</v>
      </c>
      <c r="D173" s="19" t="s">
        <v>395</v>
      </c>
      <c r="E173" s="20" t="s">
        <v>17</v>
      </c>
      <c r="F173" s="21" t="s">
        <v>48</v>
      </c>
      <c r="G173" s="22" t="s">
        <v>20</v>
      </c>
      <c r="H173" s="23" t="s">
        <v>37</v>
      </c>
    </row>
    <row r="174" spans="2:8" s="1" customFormat="1" x14ac:dyDescent="0.15">
      <c r="B174" s="13" t="s">
        <v>1</v>
      </c>
      <c r="C174" s="14" t="s">
        <v>0</v>
      </c>
      <c r="D174" s="29" t="s">
        <v>133</v>
      </c>
      <c r="E174" s="30"/>
      <c r="F174" s="31"/>
      <c r="G174" s="15" t="s">
        <v>57</v>
      </c>
      <c r="H174" s="16" t="s">
        <v>134</v>
      </c>
    </row>
    <row r="175" spans="2:8" s="1" customFormat="1" x14ac:dyDescent="0.15">
      <c r="B175" s="32">
        <v>200033</v>
      </c>
      <c r="C175" s="2" t="s">
        <v>2</v>
      </c>
      <c r="D175" s="9">
        <f>ROUND(C12*880,0)</f>
        <v>9240</v>
      </c>
      <c r="E175" s="3" t="s">
        <v>3</v>
      </c>
      <c r="F175" s="11">
        <f>ROUND(C12*476,0)</f>
        <v>4998</v>
      </c>
      <c r="G175" s="4" t="s">
        <v>8</v>
      </c>
      <c r="H175" s="17" t="s">
        <v>135</v>
      </c>
    </row>
    <row r="176" spans="2:8" s="1" customFormat="1" ht="13.5" customHeight="1" x14ac:dyDescent="0.15">
      <c r="B176" s="33"/>
      <c r="C176" s="5" t="s">
        <v>4</v>
      </c>
      <c r="D176" s="9">
        <f>ROUND(C12*680,0)</f>
        <v>7140</v>
      </c>
      <c r="E176" s="6" t="s">
        <v>5</v>
      </c>
      <c r="F176" s="11">
        <f>ROUND(C12*880,0)</f>
        <v>9240</v>
      </c>
      <c r="G176" s="35">
        <v>50</v>
      </c>
      <c r="H176" s="17"/>
    </row>
    <row r="177" spans="2:8" s="1" customFormat="1" ht="13.5" customHeight="1" x14ac:dyDescent="0.15">
      <c r="B177" s="33"/>
      <c r="C177" s="7" t="s">
        <v>6</v>
      </c>
      <c r="D177" s="10">
        <v>7</v>
      </c>
      <c r="E177" s="8" t="s">
        <v>7</v>
      </c>
      <c r="F177" s="12">
        <f>ROUND(C12*480,0)</f>
        <v>5040</v>
      </c>
      <c r="G177" s="36"/>
      <c r="H177" s="17"/>
    </row>
    <row r="178" spans="2:8" s="1" customFormat="1" ht="14.25" thickBot="1" x14ac:dyDescent="0.2">
      <c r="B178" s="34"/>
      <c r="C178" s="18" t="s">
        <v>16</v>
      </c>
      <c r="D178" s="19" t="s">
        <v>376</v>
      </c>
      <c r="E178" s="20" t="s">
        <v>17</v>
      </c>
      <c r="F178" s="21" t="s">
        <v>49</v>
      </c>
      <c r="G178" s="22" t="s">
        <v>20</v>
      </c>
      <c r="H178" s="23" t="s">
        <v>136</v>
      </c>
    </row>
    <row r="179" spans="2:8" s="1" customFormat="1" x14ac:dyDescent="0.15">
      <c r="B179" s="13" t="s">
        <v>1</v>
      </c>
      <c r="C179" s="14" t="s">
        <v>0</v>
      </c>
      <c r="D179" s="29" t="s">
        <v>137</v>
      </c>
      <c r="E179" s="30"/>
      <c r="F179" s="31"/>
      <c r="G179" s="15" t="s">
        <v>57</v>
      </c>
      <c r="H179" s="16" t="s">
        <v>35</v>
      </c>
    </row>
    <row r="180" spans="2:8" s="1" customFormat="1" x14ac:dyDescent="0.15">
      <c r="B180" s="32">
        <v>200034</v>
      </c>
      <c r="C180" s="2" t="s">
        <v>2</v>
      </c>
      <c r="D180" s="9">
        <f>ROUND(C12*880,0)</f>
        <v>9240</v>
      </c>
      <c r="E180" s="3" t="s">
        <v>3</v>
      </c>
      <c r="F180" s="11">
        <f>ROUND(C12*476,0)</f>
        <v>4998</v>
      </c>
      <c r="G180" s="4" t="s">
        <v>8</v>
      </c>
      <c r="H180" s="17" t="s">
        <v>23</v>
      </c>
    </row>
    <row r="181" spans="2:8" s="1" customFormat="1" ht="13.5" customHeight="1" x14ac:dyDescent="0.15">
      <c r="B181" s="33"/>
      <c r="C181" s="5" t="s">
        <v>4</v>
      </c>
      <c r="D181" s="9">
        <f>ROUND(C12*680,0)</f>
        <v>7140</v>
      </c>
      <c r="E181" s="6" t="s">
        <v>5</v>
      </c>
      <c r="F181" s="11">
        <f>ROUND(C12*880,0)</f>
        <v>9240</v>
      </c>
      <c r="G181" s="35">
        <v>100</v>
      </c>
      <c r="H181" s="17"/>
    </row>
    <row r="182" spans="2:8" s="1" customFormat="1" ht="13.5" customHeight="1" x14ac:dyDescent="0.15">
      <c r="B182" s="33"/>
      <c r="C182" s="7" t="s">
        <v>6</v>
      </c>
      <c r="D182" s="10">
        <v>7</v>
      </c>
      <c r="E182" s="8" t="s">
        <v>7</v>
      </c>
      <c r="F182" s="12">
        <f>ROUND(C12*530,0)</f>
        <v>5565</v>
      </c>
      <c r="G182" s="36"/>
      <c r="H182" s="17"/>
    </row>
    <row r="183" spans="2:8" s="1" customFormat="1" ht="14.25" thickBot="1" x14ac:dyDescent="0.2">
      <c r="B183" s="34"/>
      <c r="C183" s="18" t="s">
        <v>16</v>
      </c>
      <c r="D183" s="19" t="s">
        <v>404</v>
      </c>
      <c r="E183" s="20" t="s">
        <v>17</v>
      </c>
      <c r="F183" s="21" t="s">
        <v>100</v>
      </c>
      <c r="G183" s="22" t="s">
        <v>20</v>
      </c>
      <c r="H183" s="23" t="s">
        <v>37</v>
      </c>
    </row>
    <row r="184" spans="2:8" s="1" customFormat="1" x14ac:dyDescent="0.15">
      <c r="B184" s="13" t="s">
        <v>1</v>
      </c>
      <c r="C184" s="14" t="s">
        <v>0</v>
      </c>
      <c r="D184" s="29" t="s">
        <v>138</v>
      </c>
      <c r="E184" s="30"/>
      <c r="F184" s="31"/>
      <c r="G184" s="15" t="s">
        <v>57</v>
      </c>
      <c r="H184" s="16" t="s">
        <v>139</v>
      </c>
    </row>
    <row r="185" spans="2:8" s="1" customFormat="1" x14ac:dyDescent="0.15">
      <c r="B185" s="32">
        <v>200035</v>
      </c>
      <c r="C185" s="2" t="s">
        <v>2</v>
      </c>
      <c r="D185" s="9">
        <f>ROUND(C12*880,0)</f>
        <v>9240</v>
      </c>
      <c r="E185" s="3" t="s">
        <v>3</v>
      </c>
      <c r="F185" s="11">
        <f>ROUND(C12*476,0)</f>
        <v>4998</v>
      </c>
      <c r="G185" s="4" t="s">
        <v>8</v>
      </c>
      <c r="H185" s="17" t="s">
        <v>140</v>
      </c>
    </row>
    <row r="186" spans="2:8" s="1" customFormat="1" ht="13.5" customHeight="1" x14ac:dyDescent="0.15">
      <c r="B186" s="33"/>
      <c r="C186" s="5" t="s">
        <v>4</v>
      </c>
      <c r="D186" s="9">
        <f>ROUND(C12*680,0)</f>
        <v>7140</v>
      </c>
      <c r="E186" s="6" t="s">
        <v>5</v>
      </c>
      <c r="F186" s="11">
        <f>ROUND(C12*880,0)</f>
        <v>9240</v>
      </c>
      <c r="G186" s="35">
        <v>50</v>
      </c>
      <c r="H186" s="17"/>
    </row>
    <row r="187" spans="2:8" s="1" customFormat="1" ht="13.5" customHeight="1" x14ac:dyDescent="0.15">
      <c r="B187" s="33"/>
      <c r="C187" s="7" t="s">
        <v>6</v>
      </c>
      <c r="D187" s="10">
        <v>7</v>
      </c>
      <c r="E187" s="8" t="s">
        <v>7</v>
      </c>
      <c r="F187" s="12">
        <f>ROUND(C12*480,0)</f>
        <v>5040</v>
      </c>
      <c r="G187" s="36"/>
      <c r="H187" s="17"/>
    </row>
    <row r="188" spans="2:8" s="1" customFormat="1" ht="14.25" thickBot="1" x14ac:dyDescent="0.2">
      <c r="B188" s="34"/>
      <c r="C188" s="18" t="s">
        <v>16</v>
      </c>
      <c r="D188" s="19" t="s">
        <v>39</v>
      </c>
      <c r="E188" s="20" t="s">
        <v>17</v>
      </c>
      <c r="F188" s="21" t="s">
        <v>405</v>
      </c>
      <c r="G188" s="22" t="s">
        <v>20</v>
      </c>
      <c r="H188" s="23" t="s">
        <v>37</v>
      </c>
    </row>
    <row r="189" spans="2:8" s="1" customFormat="1" x14ac:dyDescent="0.15">
      <c r="B189" s="13" t="s">
        <v>1</v>
      </c>
      <c r="C189" s="14" t="s">
        <v>0</v>
      </c>
      <c r="D189" s="29" t="s">
        <v>141</v>
      </c>
      <c r="E189" s="30"/>
      <c r="F189" s="31"/>
      <c r="G189" s="15" t="s">
        <v>57</v>
      </c>
      <c r="H189" s="16" t="s">
        <v>41</v>
      </c>
    </row>
    <row r="190" spans="2:8" s="1" customFormat="1" x14ac:dyDescent="0.15">
      <c r="B190" s="32">
        <v>200036</v>
      </c>
      <c r="C190" s="2" t="s">
        <v>2</v>
      </c>
      <c r="D190" s="9">
        <f>ROUND(C12*880,0)</f>
        <v>9240</v>
      </c>
      <c r="E190" s="3" t="s">
        <v>3</v>
      </c>
      <c r="F190" s="11">
        <f>ROUND(C12*980,0)</f>
        <v>10290</v>
      </c>
      <c r="G190" s="4" t="s">
        <v>8</v>
      </c>
      <c r="H190" s="17" t="s">
        <v>25</v>
      </c>
    </row>
    <row r="191" spans="2:8" s="1" customFormat="1" ht="13.5" customHeight="1" x14ac:dyDescent="0.15">
      <c r="B191" s="33"/>
      <c r="C191" s="5" t="s">
        <v>4</v>
      </c>
      <c r="D191" s="9">
        <f>ROUND(C12*680,0)</f>
        <v>7140</v>
      </c>
      <c r="E191" s="6" t="s">
        <v>5</v>
      </c>
      <c r="F191" s="11">
        <f>ROUND(C12*1936,0)</f>
        <v>20328</v>
      </c>
      <c r="G191" s="35">
        <v>100</v>
      </c>
      <c r="H191" s="17"/>
    </row>
    <row r="192" spans="2:8" s="1" customFormat="1" ht="13.5" customHeight="1" x14ac:dyDescent="0.15">
      <c r="B192" s="33"/>
      <c r="C192" s="7" t="s">
        <v>6</v>
      </c>
      <c r="D192" s="10">
        <v>4</v>
      </c>
      <c r="E192" s="8" t="s">
        <v>7</v>
      </c>
      <c r="F192" s="12">
        <f>ROUND(C12*370,0)</f>
        <v>3885</v>
      </c>
      <c r="G192" s="36"/>
      <c r="H192" s="17"/>
    </row>
    <row r="193" spans="2:8" s="1" customFormat="1" ht="14.25" thickBot="1" x14ac:dyDescent="0.2">
      <c r="B193" s="34"/>
      <c r="C193" s="18" t="s">
        <v>16</v>
      </c>
      <c r="D193" s="19" t="s">
        <v>377</v>
      </c>
      <c r="E193" s="20" t="s">
        <v>17</v>
      </c>
      <c r="F193" s="21" t="s">
        <v>56</v>
      </c>
      <c r="G193" s="22" t="s">
        <v>20</v>
      </c>
      <c r="H193" s="23" t="s">
        <v>37</v>
      </c>
    </row>
    <row r="194" spans="2:8" s="1" customFormat="1" x14ac:dyDescent="0.15">
      <c r="B194" s="13" t="s">
        <v>1</v>
      </c>
      <c r="C194" s="14" t="s">
        <v>0</v>
      </c>
      <c r="D194" s="29" t="s">
        <v>142</v>
      </c>
      <c r="E194" s="30"/>
      <c r="F194" s="31"/>
      <c r="G194" s="15" t="s">
        <v>57</v>
      </c>
      <c r="H194" s="16" t="s">
        <v>143</v>
      </c>
    </row>
    <row r="195" spans="2:8" s="1" customFormat="1" x14ac:dyDescent="0.15">
      <c r="B195" s="32">
        <v>200037</v>
      </c>
      <c r="C195" s="2" t="s">
        <v>2</v>
      </c>
      <c r="D195" s="9">
        <f>ROUND(C12*880,0)</f>
        <v>9240</v>
      </c>
      <c r="E195" s="3" t="s">
        <v>3</v>
      </c>
      <c r="F195" s="11">
        <f>ROUND(C12*476,0)</f>
        <v>4998</v>
      </c>
      <c r="G195" s="4" t="s">
        <v>8</v>
      </c>
      <c r="H195" s="17" t="s">
        <v>144</v>
      </c>
    </row>
    <row r="196" spans="2:8" s="1" customFormat="1" ht="13.5" customHeight="1" x14ac:dyDescent="0.15">
      <c r="B196" s="33"/>
      <c r="C196" s="5" t="s">
        <v>4</v>
      </c>
      <c r="D196" s="9">
        <f>ROUND(C12*680,0)</f>
        <v>7140</v>
      </c>
      <c r="E196" s="6" t="s">
        <v>5</v>
      </c>
      <c r="F196" s="11">
        <f>ROUND(C12*880,0)</f>
        <v>9240</v>
      </c>
      <c r="G196" s="35">
        <v>50</v>
      </c>
      <c r="H196" s="17"/>
    </row>
    <row r="197" spans="2:8" s="1" customFormat="1" ht="13.5" customHeight="1" x14ac:dyDescent="0.15">
      <c r="B197" s="33"/>
      <c r="C197" s="7" t="s">
        <v>6</v>
      </c>
      <c r="D197" s="10">
        <v>7</v>
      </c>
      <c r="E197" s="8" t="s">
        <v>7</v>
      </c>
      <c r="F197" s="12">
        <f>ROUND(C12*530,0)</f>
        <v>5565</v>
      </c>
      <c r="G197" s="36"/>
      <c r="H197" s="17"/>
    </row>
    <row r="198" spans="2:8" s="1" customFormat="1" ht="14.25" thickBot="1" x14ac:dyDescent="0.2">
      <c r="B198" s="34"/>
      <c r="C198" s="18" t="s">
        <v>16</v>
      </c>
      <c r="D198" s="19" t="s">
        <v>406</v>
      </c>
      <c r="E198" s="20" t="s">
        <v>17</v>
      </c>
      <c r="F198" s="21" t="s">
        <v>396</v>
      </c>
      <c r="G198" s="22" t="s">
        <v>20</v>
      </c>
      <c r="H198" s="23" t="s">
        <v>72</v>
      </c>
    </row>
    <row r="199" spans="2:8" s="1" customFormat="1" x14ac:dyDescent="0.15">
      <c r="B199" s="13" t="s">
        <v>1</v>
      </c>
      <c r="C199" s="14" t="s">
        <v>0</v>
      </c>
      <c r="D199" s="29" t="s">
        <v>145</v>
      </c>
      <c r="E199" s="30"/>
      <c r="F199" s="31"/>
      <c r="G199" s="15" t="s">
        <v>57</v>
      </c>
      <c r="H199" s="16" t="s">
        <v>146</v>
      </c>
    </row>
    <row r="200" spans="2:8" s="1" customFormat="1" x14ac:dyDescent="0.15">
      <c r="B200" s="32">
        <v>200038</v>
      </c>
      <c r="C200" s="2" t="s">
        <v>2</v>
      </c>
      <c r="D200" s="9">
        <f>ROUND(C12*880,0)</f>
        <v>9240</v>
      </c>
      <c r="E200" s="3" t="s">
        <v>3</v>
      </c>
      <c r="F200" s="11">
        <f>ROUND(C12*476,0)</f>
        <v>4998</v>
      </c>
      <c r="G200" s="4" t="s">
        <v>8</v>
      </c>
      <c r="H200" s="17" t="s">
        <v>147</v>
      </c>
    </row>
    <row r="201" spans="2:8" s="1" customFormat="1" ht="13.5" customHeight="1" x14ac:dyDescent="0.15">
      <c r="B201" s="33"/>
      <c r="C201" s="5" t="s">
        <v>4</v>
      </c>
      <c r="D201" s="9">
        <f>ROUND(C12*680,0)</f>
        <v>7140</v>
      </c>
      <c r="E201" s="6" t="s">
        <v>5</v>
      </c>
      <c r="F201" s="11">
        <f>ROUND(C12*880,0)</f>
        <v>9240</v>
      </c>
      <c r="G201" s="35">
        <v>100</v>
      </c>
      <c r="H201" s="17"/>
    </row>
    <row r="202" spans="2:8" s="1" customFormat="1" ht="13.5" customHeight="1" x14ac:dyDescent="0.15">
      <c r="B202" s="33"/>
      <c r="C202" s="7" t="s">
        <v>6</v>
      </c>
      <c r="D202" s="10">
        <v>7</v>
      </c>
      <c r="E202" s="8" t="s">
        <v>7</v>
      </c>
      <c r="F202" s="12">
        <f>ROUND(C12*480,0)</f>
        <v>5040</v>
      </c>
      <c r="G202" s="36"/>
      <c r="H202" s="17"/>
    </row>
    <row r="203" spans="2:8" s="1" customFormat="1" ht="14.25" thickBot="1" x14ac:dyDescent="0.2">
      <c r="B203" s="34"/>
      <c r="C203" s="18" t="s">
        <v>16</v>
      </c>
      <c r="D203" s="19" t="s">
        <v>407</v>
      </c>
      <c r="E203" s="20" t="s">
        <v>17</v>
      </c>
      <c r="F203" s="21" t="s">
        <v>48</v>
      </c>
      <c r="G203" s="22" t="s">
        <v>20</v>
      </c>
      <c r="H203" s="23" t="s">
        <v>37</v>
      </c>
    </row>
    <row r="204" spans="2:8" s="1" customFormat="1" x14ac:dyDescent="0.15">
      <c r="B204" s="13" t="s">
        <v>1</v>
      </c>
      <c r="C204" s="14" t="s">
        <v>0</v>
      </c>
      <c r="D204" s="29" t="s">
        <v>148</v>
      </c>
      <c r="E204" s="30"/>
      <c r="F204" s="31"/>
      <c r="G204" s="15" t="s">
        <v>57</v>
      </c>
      <c r="H204" s="16" t="s">
        <v>53</v>
      </c>
    </row>
    <row r="205" spans="2:8" s="1" customFormat="1" x14ac:dyDescent="0.15">
      <c r="B205" s="32">
        <v>200039</v>
      </c>
      <c r="C205" s="2" t="s">
        <v>2</v>
      </c>
      <c r="D205" s="9">
        <f>ROUND(C12*880,0)</f>
        <v>9240</v>
      </c>
      <c r="E205" s="3" t="s">
        <v>3</v>
      </c>
      <c r="F205" s="11">
        <f>ROUND(C12*476,0)</f>
        <v>4998</v>
      </c>
      <c r="G205" s="4" t="s">
        <v>8</v>
      </c>
      <c r="H205" s="17" t="s">
        <v>394</v>
      </c>
    </row>
    <row r="206" spans="2:8" s="1" customFormat="1" ht="13.5" customHeight="1" x14ac:dyDescent="0.15">
      <c r="B206" s="33"/>
      <c r="C206" s="5" t="s">
        <v>4</v>
      </c>
      <c r="D206" s="9">
        <f>ROUND(C12*680,0)</f>
        <v>7140</v>
      </c>
      <c r="E206" s="6" t="s">
        <v>5</v>
      </c>
      <c r="F206" s="11">
        <f>ROUND(C12*880,0)</f>
        <v>9240</v>
      </c>
      <c r="G206" s="35">
        <v>30</v>
      </c>
      <c r="H206" s="17"/>
    </row>
    <row r="207" spans="2:8" s="1" customFormat="1" ht="13.5" customHeight="1" x14ac:dyDescent="0.15">
      <c r="B207" s="33"/>
      <c r="C207" s="7" t="s">
        <v>6</v>
      </c>
      <c r="D207" s="10">
        <v>7</v>
      </c>
      <c r="E207" s="8" t="s">
        <v>7</v>
      </c>
      <c r="F207" s="12">
        <f>ROUND(C12*370,0)</f>
        <v>3885</v>
      </c>
      <c r="G207" s="36"/>
      <c r="H207" s="17"/>
    </row>
    <row r="208" spans="2:8" s="1" customFormat="1" ht="14.25" thickBot="1" x14ac:dyDescent="0.2">
      <c r="B208" s="34"/>
      <c r="C208" s="18" t="s">
        <v>16</v>
      </c>
      <c r="D208" s="19" t="s">
        <v>243</v>
      </c>
      <c r="E208" s="20" t="s">
        <v>17</v>
      </c>
      <c r="F208" s="21" t="s">
        <v>113</v>
      </c>
      <c r="G208" s="22" t="s">
        <v>20</v>
      </c>
      <c r="H208" s="23" t="s">
        <v>37</v>
      </c>
    </row>
    <row r="209" spans="2:8" s="1" customFormat="1" x14ac:dyDescent="0.15">
      <c r="B209" s="13" t="s">
        <v>1</v>
      </c>
      <c r="C209" s="14" t="s">
        <v>0</v>
      </c>
      <c r="D209" s="29" t="s">
        <v>149</v>
      </c>
      <c r="E209" s="30"/>
      <c r="F209" s="31"/>
      <c r="G209" s="15" t="s">
        <v>57</v>
      </c>
      <c r="H209" s="16" t="s">
        <v>44</v>
      </c>
    </row>
    <row r="210" spans="2:8" s="1" customFormat="1" x14ac:dyDescent="0.15">
      <c r="B210" s="32">
        <v>200040</v>
      </c>
      <c r="C210" s="2" t="s">
        <v>2</v>
      </c>
      <c r="D210" s="9">
        <f>ROUND(C12*880,0)</f>
        <v>9240</v>
      </c>
      <c r="E210" s="3" t="s">
        <v>3</v>
      </c>
      <c r="F210" s="11">
        <f>ROUND(C12*980,0)</f>
        <v>10290</v>
      </c>
      <c r="G210" s="4" t="s">
        <v>8</v>
      </c>
      <c r="H210" s="17" t="s">
        <v>26</v>
      </c>
    </row>
    <row r="211" spans="2:8" s="1" customFormat="1" ht="13.5" customHeight="1" x14ac:dyDescent="0.15">
      <c r="B211" s="33"/>
      <c r="C211" s="5" t="s">
        <v>4</v>
      </c>
      <c r="D211" s="9">
        <f>ROUND(C12*680,0)</f>
        <v>7140</v>
      </c>
      <c r="E211" s="6" t="s">
        <v>5</v>
      </c>
      <c r="F211" s="11">
        <f>ROUND(C12*1936,0)</f>
        <v>20328</v>
      </c>
      <c r="G211" s="35">
        <v>100</v>
      </c>
      <c r="H211" s="17"/>
    </row>
    <row r="212" spans="2:8" s="1" customFormat="1" ht="13.5" customHeight="1" x14ac:dyDescent="0.15">
      <c r="B212" s="33"/>
      <c r="C212" s="7" t="s">
        <v>6</v>
      </c>
      <c r="D212" s="10">
        <v>4</v>
      </c>
      <c r="E212" s="8" t="s">
        <v>7</v>
      </c>
      <c r="F212" s="12">
        <f>ROUND(C12*370,0)</f>
        <v>3885</v>
      </c>
      <c r="G212" s="36"/>
      <c r="H212" s="17"/>
    </row>
    <row r="213" spans="2:8" s="1" customFormat="1" ht="14.25" thickBot="1" x14ac:dyDescent="0.2">
      <c r="B213" s="34"/>
      <c r="C213" s="18" t="s">
        <v>16</v>
      </c>
      <c r="D213" s="19" t="s">
        <v>393</v>
      </c>
      <c r="E213" s="20" t="s">
        <v>17</v>
      </c>
      <c r="F213" s="21" t="s">
        <v>54</v>
      </c>
      <c r="G213" s="22" t="s">
        <v>20</v>
      </c>
      <c r="H213" s="23" t="s">
        <v>37</v>
      </c>
    </row>
    <row r="214" spans="2:8" s="1" customFormat="1" x14ac:dyDescent="0.15">
      <c r="B214" s="13" t="s">
        <v>1</v>
      </c>
      <c r="C214" s="14" t="s">
        <v>0</v>
      </c>
      <c r="D214" s="29" t="s">
        <v>150</v>
      </c>
      <c r="E214" s="30"/>
      <c r="F214" s="31"/>
      <c r="G214" s="15" t="s">
        <v>57</v>
      </c>
      <c r="H214" s="16" t="s">
        <v>151</v>
      </c>
    </row>
    <row r="215" spans="2:8" s="1" customFormat="1" x14ac:dyDescent="0.15">
      <c r="B215" s="32">
        <v>200041</v>
      </c>
      <c r="C215" s="2" t="s">
        <v>2</v>
      </c>
      <c r="D215" s="9">
        <f>ROUND(C12*880,0)</f>
        <v>9240</v>
      </c>
      <c r="E215" s="3" t="s">
        <v>3</v>
      </c>
      <c r="F215" s="11">
        <f>ROUND(C12*476,0)</f>
        <v>4998</v>
      </c>
      <c r="G215" s="4" t="s">
        <v>8</v>
      </c>
      <c r="H215" s="17" t="s">
        <v>152</v>
      </c>
    </row>
    <row r="216" spans="2:8" s="1" customFormat="1" ht="13.5" customHeight="1" x14ac:dyDescent="0.15">
      <c r="B216" s="33"/>
      <c r="C216" s="5" t="s">
        <v>4</v>
      </c>
      <c r="D216" s="9">
        <f>ROUND(C12*680,0)</f>
        <v>7140</v>
      </c>
      <c r="E216" s="6" t="s">
        <v>5</v>
      </c>
      <c r="F216" s="11">
        <f>ROUND(C12*880,0)</f>
        <v>9240</v>
      </c>
      <c r="G216" s="35">
        <v>50</v>
      </c>
      <c r="H216" s="17"/>
    </row>
    <row r="217" spans="2:8" s="1" customFormat="1" ht="13.5" customHeight="1" x14ac:dyDescent="0.15">
      <c r="B217" s="33"/>
      <c r="C217" s="7" t="s">
        <v>6</v>
      </c>
      <c r="D217" s="10">
        <v>7</v>
      </c>
      <c r="E217" s="8" t="s">
        <v>7</v>
      </c>
      <c r="F217" s="12">
        <f>ROUND(C12*370,0)</f>
        <v>3885</v>
      </c>
      <c r="G217" s="36"/>
      <c r="H217" s="17"/>
    </row>
    <row r="218" spans="2:8" s="1" customFormat="1" ht="14.25" thickBot="1" x14ac:dyDescent="0.2">
      <c r="B218" s="34"/>
      <c r="C218" s="18" t="s">
        <v>16</v>
      </c>
      <c r="D218" s="19" t="s">
        <v>380</v>
      </c>
      <c r="E218" s="20" t="s">
        <v>17</v>
      </c>
      <c r="F218" s="21" t="s">
        <v>93</v>
      </c>
      <c r="G218" s="22" t="s">
        <v>20</v>
      </c>
      <c r="H218" s="23" t="s">
        <v>153</v>
      </c>
    </row>
    <row r="219" spans="2:8" s="1" customFormat="1" x14ac:dyDescent="0.15">
      <c r="B219" s="13" t="s">
        <v>1</v>
      </c>
      <c r="C219" s="14" t="s">
        <v>0</v>
      </c>
      <c r="D219" s="29" t="s">
        <v>154</v>
      </c>
      <c r="E219" s="30"/>
      <c r="F219" s="31"/>
      <c r="G219" s="15" t="s">
        <v>57</v>
      </c>
      <c r="H219" s="16" t="s">
        <v>50</v>
      </c>
    </row>
    <row r="220" spans="2:8" s="1" customFormat="1" x14ac:dyDescent="0.15">
      <c r="B220" s="32">
        <v>200042</v>
      </c>
      <c r="C220" s="2" t="s">
        <v>2</v>
      </c>
      <c r="D220" s="9">
        <f>ROUND(C12*880,0)</f>
        <v>9240</v>
      </c>
      <c r="E220" s="3" t="s">
        <v>3</v>
      </c>
      <c r="F220" s="11">
        <f>ROUND(C12*476,0)</f>
        <v>4998</v>
      </c>
      <c r="G220" s="4" t="s">
        <v>8</v>
      </c>
      <c r="H220" s="17" t="s">
        <v>29</v>
      </c>
    </row>
    <row r="221" spans="2:8" s="1" customFormat="1" ht="13.5" customHeight="1" x14ac:dyDescent="0.15">
      <c r="B221" s="33"/>
      <c r="C221" s="5" t="s">
        <v>4</v>
      </c>
      <c r="D221" s="9">
        <f>ROUND(C12*680,0)</f>
        <v>7140</v>
      </c>
      <c r="E221" s="6" t="s">
        <v>5</v>
      </c>
      <c r="F221" s="11">
        <f>ROUND(C12*880,0)</f>
        <v>9240</v>
      </c>
      <c r="G221" s="35">
        <v>100</v>
      </c>
      <c r="H221" s="17"/>
    </row>
    <row r="222" spans="2:8" s="1" customFormat="1" ht="13.5" customHeight="1" x14ac:dyDescent="0.15">
      <c r="B222" s="33"/>
      <c r="C222" s="7" t="s">
        <v>6</v>
      </c>
      <c r="D222" s="10">
        <v>7</v>
      </c>
      <c r="E222" s="8" t="s">
        <v>7</v>
      </c>
      <c r="F222" s="12">
        <f>ROUND(C12*530,0)</f>
        <v>5565</v>
      </c>
      <c r="G222" s="36"/>
      <c r="H222" s="17"/>
    </row>
    <row r="223" spans="2:8" s="1" customFormat="1" ht="14.25" thickBot="1" x14ac:dyDescent="0.2">
      <c r="B223" s="34"/>
      <c r="C223" s="18" t="s">
        <v>16</v>
      </c>
      <c r="D223" s="19" t="s">
        <v>39</v>
      </c>
      <c r="E223" s="20" t="s">
        <v>17</v>
      </c>
      <c r="F223" s="21" t="s">
        <v>405</v>
      </c>
      <c r="G223" s="22" t="s">
        <v>20</v>
      </c>
      <c r="H223" s="23" t="s">
        <v>37</v>
      </c>
    </row>
    <row r="224" spans="2:8" s="1" customFormat="1" x14ac:dyDescent="0.15">
      <c r="B224" s="13" t="s">
        <v>1</v>
      </c>
      <c r="C224" s="14" t="s">
        <v>0</v>
      </c>
      <c r="D224" s="29" t="s">
        <v>155</v>
      </c>
      <c r="E224" s="30"/>
      <c r="F224" s="31"/>
      <c r="G224" s="15" t="s">
        <v>57</v>
      </c>
      <c r="H224" s="16" t="s">
        <v>84</v>
      </c>
    </row>
    <row r="225" spans="2:8" s="1" customFormat="1" x14ac:dyDescent="0.15">
      <c r="B225" s="32">
        <v>200043</v>
      </c>
      <c r="C225" s="2" t="s">
        <v>2</v>
      </c>
      <c r="D225" s="9">
        <f>ROUND(C12*880,0)</f>
        <v>9240</v>
      </c>
      <c r="E225" s="3" t="s">
        <v>3</v>
      </c>
      <c r="F225" s="11">
        <f>ROUND(C12*476,0)</f>
        <v>4998</v>
      </c>
      <c r="G225" s="4" t="s">
        <v>8</v>
      </c>
      <c r="H225" s="17" t="s">
        <v>398</v>
      </c>
    </row>
    <row r="226" spans="2:8" s="1" customFormat="1" ht="13.5" customHeight="1" x14ac:dyDescent="0.15">
      <c r="B226" s="33"/>
      <c r="C226" s="5" t="s">
        <v>4</v>
      </c>
      <c r="D226" s="9">
        <f>ROUND(C12*680,0)</f>
        <v>7140</v>
      </c>
      <c r="E226" s="6" t="s">
        <v>5</v>
      </c>
      <c r="F226" s="11">
        <f>ROUND(C12*880,0)</f>
        <v>9240</v>
      </c>
      <c r="G226" s="35">
        <v>50</v>
      </c>
      <c r="H226" s="17"/>
    </row>
    <row r="227" spans="2:8" s="1" customFormat="1" ht="13.5" customHeight="1" x14ac:dyDescent="0.15">
      <c r="B227" s="33"/>
      <c r="C227" s="7" t="s">
        <v>6</v>
      </c>
      <c r="D227" s="10">
        <v>7</v>
      </c>
      <c r="E227" s="8" t="s">
        <v>7</v>
      </c>
      <c r="F227" s="12">
        <f>ROUND(C12*480,0)</f>
        <v>5040</v>
      </c>
      <c r="G227" s="36"/>
      <c r="H227" s="17"/>
    </row>
    <row r="228" spans="2:8" s="1" customFormat="1" ht="14.25" thickBot="1" x14ac:dyDescent="0.2">
      <c r="B228" s="34"/>
      <c r="C228" s="18" t="s">
        <v>16</v>
      </c>
      <c r="D228" s="19" t="s">
        <v>389</v>
      </c>
      <c r="E228" s="20" t="s">
        <v>17</v>
      </c>
      <c r="F228" s="21" t="s">
        <v>33</v>
      </c>
      <c r="G228" s="22" t="s">
        <v>20</v>
      </c>
      <c r="H228" s="23" t="s">
        <v>156</v>
      </c>
    </row>
    <row r="229" spans="2:8" s="1" customFormat="1" x14ac:dyDescent="0.15">
      <c r="B229" s="13" t="s">
        <v>1</v>
      </c>
      <c r="C229" s="14" t="s">
        <v>0</v>
      </c>
      <c r="D229" s="29" t="s">
        <v>157</v>
      </c>
      <c r="E229" s="30"/>
      <c r="F229" s="31"/>
      <c r="G229" s="15" t="s">
        <v>57</v>
      </c>
      <c r="H229" s="16" t="s">
        <v>55</v>
      </c>
    </row>
    <row r="230" spans="2:8" s="1" customFormat="1" x14ac:dyDescent="0.15">
      <c r="B230" s="32">
        <v>200044</v>
      </c>
      <c r="C230" s="2" t="s">
        <v>2</v>
      </c>
      <c r="D230" s="9">
        <f>ROUND(C12*880,0)</f>
        <v>9240</v>
      </c>
      <c r="E230" s="3" t="s">
        <v>3</v>
      </c>
      <c r="F230" s="11">
        <f>ROUND(C12*980,0)</f>
        <v>10290</v>
      </c>
      <c r="G230" s="4" t="s">
        <v>8</v>
      </c>
      <c r="H230" s="17" t="s">
        <v>30</v>
      </c>
    </row>
    <row r="231" spans="2:8" s="1" customFormat="1" ht="13.5" customHeight="1" x14ac:dyDescent="0.15">
      <c r="B231" s="33"/>
      <c r="C231" s="5" t="s">
        <v>4</v>
      </c>
      <c r="D231" s="9">
        <f>ROUND(C12*680,0)</f>
        <v>7140</v>
      </c>
      <c r="E231" s="6" t="s">
        <v>5</v>
      </c>
      <c r="F231" s="11">
        <f>ROUND(C12*1936,0)</f>
        <v>20328</v>
      </c>
      <c r="G231" s="35">
        <v>100</v>
      </c>
      <c r="H231" s="17"/>
    </row>
    <row r="232" spans="2:8" s="1" customFormat="1" ht="13.5" customHeight="1" x14ac:dyDescent="0.15">
      <c r="B232" s="33"/>
      <c r="C232" s="7" t="s">
        <v>6</v>
      </c>
      <c r="D232" s="10">
        <v>4</v>
      </c>
      <c r="E232" s="8" t="s">
        <v>7</v>
      </c>
      <c r="F232" s="12">
        <f>ROUND(C12*530,0)</f>
        <v>5565</v>
      </c>
      <c r="G232" s="36"/>
      <c r="H232" s="17"/>
    </row>
    <row r="233" spans="2:8" s="1" customFormat="1" ht="14.25" thickBot="1" x14ac:dyDescent="0.2">
      <c r="B233" s="34"/>
      <c r="C233" s="18" t="s">
        <v>16</v>
      </c>
      <c r="D233" s="19" t="s">
        <v>390</v>
      </c>
      <c r="E233" s="20" t="s">
        <v>17</v>
      </c>
      <c r="F233" s="21" t="s">
        <v>54</v>
      </c>
      <c r="G233" s="22" t="s">
        <v>20</v>
      </c>
      <c r="H233" s="23" t="s">
        <v>37</v>
      </c>
    </row>
    <row r="234" spans="2:8" s="1" customFormat="1" x14ac:dyDescent="0.15">
      <c r="B234" s="13" t="s">
        <v>1</v>
      </c>
      <c r="C234" s="14" t="s">
        <v>0</v>
      </c>
      <c r="D234" s="29" t="s">
        <v>158</v>
      </c>
      <c r="E234" s="30"/>
      <c r="F234" s="31"/>
      <c r="G234" s="15" t="s">
        <v>57</v>
      </c>
      <c r="H234" s="16" t="s">
        <v>159</v>
      </c>
    </row>
    <row r="235" spans="2:8" s="1" customFormat="1" x14ac:dyDescent="0.15">
      <c r="B235" s="32">
        <v>200045</v>
      </c>
      <c r="C235" s="2" t="s">
        <v>2</v>
      </c>
      <c r="D235" s="9">
        <f>ROUND(C12*880,0)</f>
        <v>9240</v>
      </c>
      <c r="E235" s="3" t="s">
        <v>3</v>
      </c>
      <c r="F235" s="11">
        <f>ROUND(C12*476,0)</f>
        <v>4998</v>
      </c>
      <c r="G235" s="4" t="s">
        <v>8</v>
      </c>
      <c r="H235" s="17" t="s">
        <v>160</v>
      </c>
    </row>
    <row r="236" spans="2:8" s="1" customFormat="1" ht="13.5" customHeight="1" x14ac:dyDescent="0.15">
      <c r="B236" s="33"/>
      <c r="C236" s="5" t="s">
        <v>4</v>
      </c>
      <c r="D236" s="9">
        <f>ROUND(C12*680,0)</f>
        <v>7140</v>
      </c>
      <c r="E236" s="6" t="s">
        <v>5</v>
      </c>
      <c r="F236" s="11">
        <f>ROUND(C12*880,0)</f>
        <v>9240</v>
      </c>
      <c r="G236" s="35">
        <v>50</v>
      </c>
      <c r="H236" s="17"/>
    </row>
    <row r="237" spans="2:8" s="1" customFormat="1" ht="13.5" customHeight="1" x14ac:dyDescent="0.15">
      <c r="B237" s="33"/>
      <c r="C237" s="7" t="s">
        <v>6</v>
      </c>
      <c r="D237" s="10">
        <v>7</v>
      </c>
      <c r="E237" s="8" t="s">
        <v>7</v>
      </c>
      <c r="F237" s="12">
        <f>ROUND(C12*530,0)</f>
        <v>5565</v>
      </c>
      <c r="G237" s="36"/>
      <c r="H237" s="17"/>
    </row>
    <row r="238" spans="2:8" s="1" customFormat="1" ht="14.25" thickBot="1" x14ac:dyDescent="0.2">
      <c r="B238" s="34"/>
      <c r="C238" s="18" t="s">
        <v>16</v>
      </c>
      <c r="D238" s="19" t="s">
        <v>408</v>
      </c>
      <c r="E238" s="20" t="s">
        <v>17</v>
      </c>
      <c r="F238" s="21" t="s">
        <v>36</v>
      </c>
      <c r="G238" s="22" t="s">
        <v>20</v>
      </c>
      <c r="H238" s="23" t="s">
        <v>37</v>
      </c>
    </row>
    <row r="239" spans="2:8" s="1" customFormat="1" x14ac:dyDescent="0.15">
      <c r="B239" s="13" t="s">
        <v>1</v>
      </c>
      <c r="C239" s="14" t="s">
        <v>0</v>
      </c>
      <c r="D239" s="29" t="s">
        <v>161</v>
      </c>
      <c r="E239" s="30"/>
      <c r="F239" s="31"/>
      <c r="G239" s="15" t="s">
        <v>57</v>
      </c>
      <c r="H239" s="16" t="s">
        <v>46</v>
      </c>
    </row>
    <row r="240" spans="2:8" s="1" customFormat="1" x14ac:dyDescent="0.15">
      <c r="B240" s="32">
        <v>200046</v>
      </c>
      <c r="C240" s="2" t="s">
        <v>2</v>
      </c>
      <c r="D240" s="9">
        <f>ROUND(C12*880,0)</f>
        <v>9240</v>
      </c>
      <c r="E240" s="3" t="s">
        <v>3</v>
      </c>
      <c r="F240" s="11">
        <f>ROUND(C12*476,0)</f>
        <v>4998</v>
      </c>
      <c r="G240" s="4" t="s">
        <v>8</v>
      </c>
      <c r="H240" s="17" t="s">
        <v>27</v>
      </c>
    </row>
    <row r="241" spans="2:8" s="1" customFormat="1" ht="13.5" customHeight="1" x14ac:dyDescent="0.15">
      <c r="B241" s="33"/>
      <c r="C241" s="5" t="s">
        <v>4</v>
      </c>
      <c r="D241" s="9">
        <f>ROUND(C12*680,0)</f>
        <v>7140</v>
      </c>
      <c r="E241" s="6" t="s">
        <v>5</v>
      </c>
      <c r="F241" s="11">
        <f>ROUND(C12*880,0)</f>
        <v>9240</v>
      </c>
      <c r="G241" s="35">
        <v>100</v>
      </c>
      <c r="H241" s="17"/>
    </row>
    <row r="242" spans="2:8" s="1" customFormat="1" ht="13.5" customHeight="1" x14ac:dyDescent="0.15">
      <c r="B242" s="33"/>
      <c r="C242" s="7" t="s">
        <v>6</v>
      </c>
      <c r="D242" s="10">
        <v>7</v>
      </c>
      <c r="E242" s="8" t="s">
        <v>7</v>
      </c>
      <c r="F242" s="12">
        <f>ROUND(C12*530,0)</f>
        <v>5565</v>
      </c>
      <c r="G242" s="36"/>
      <c r="H242" s="17"/>
    </row>
    <row r="243" spans="2:8" s="1" customFormat="1" ht="14.25" thickBot="1" x14ac:dyDescent="0.2">
      <c r="B243" s="34"/>
      <c r="C243" s="18" t="s">
        <v>16</v>
      </c>
      <c r="D243" s="19" t="s">
        <v>409</v>
      </c>
      <c r="E243" s="20" t="s">
        <v>17</v>
      </c>
      <c r="F243" s="21" t="s">
        <v>71</v>
      </c>
      <c r="G243" s="22" t="s">
        <v>20</v>
      </c>
      <c r="H243" s="23" t="s">
        <v>37</v>
      </c>
    </row>
    <row r="244" spans="2:8" s="1" customFormat="1" x14ac:dyDescent="0.15">
      <c r="B244" s="13" t="s">
        <v>1</v>
      </c>
      <c r="C244" s="14" t="s">
        <v>0</v>
      </c>
      <c r="D244" s="29" t="s">
        <v>162</v>
      </c>
      <c r="E244" s="30"/>
      <c r="F244" s="31"/>
      <c r="G244" s="15" t="s">
        <v>57</v>
      </c>
      <c r="H244" s="16" t="s">
        <v>163</v>
      </c>
    </row>
    <row r="245" spans="2:8" s="1" customFormat="1" x14ac:dyDescent="0.15">
      <c r="B245" s="32">
        <v>200047</v>
      </c>
      <c r="C245" s="2" t="s">
        <v>2</v>
      </c>
      <c r="D245" s="9">
        <f>ROUND(C12*880,0)</f>
        <v>9240</v>
      </c>
      <c r="E245" s="3" t="s">
        <v>3</v>
      </c>
      <c r="F245" s="11">
        <f>ROUND(C12*476,0)</f>
        <v>4998</v>
      </c>
      <c r="G245" s="4" t="s">
        <v>8</v>
      </c>
      <c r="H245" s="17" t="s">
        <v>164</v>
      </c>
    </row>
    <row r="246" spans="2:8" s="1" customFormat="1" ht="13.5" customHeight="1" x14ac:dyDescent="0.15">
      <c r="B246" s="33"/>
      <c r="C246" s="5" t="s">
        <v>4</v>
      </c>
      <c r="D246" s="9">
        <f>ROUND(C12*680,0)</f>
        <v>7140</v>
      </c>
      <c r="E246" s="6" t="s">
        <v>5</v>
      </c>
      <c r="F246" s="11">
        <f>ROUND(C12*880,0)</f>
        <v>9240</v>
      </c>
      <c r="G246" s="35">
        <v>50</v>
      </c>
      <c r="H246" s="17"/>
    </row>
    <row r="247" spans="2:8" s="1" customFormat="1" ht="13.5" customHeight="1" x14ac:dyDescent="0.15">
      <c r="B247" s="33"/>
      <c r="C247" s="7" t="s">
        <v>6</v>
      </c>
      <c r="D247" s="10">
        <v>7</v>
      </c>
      <c r="E247" s="8" t="s">
        <v>7</v>
      </c>
      <c r="F247" s="12">
        <f>ROUND(C12*370,0)</f>
        <v>3885</v>
      </c>
      <c r="G247" s="36"/>
      <c r="H247" s="17"/>
    </row>
    <row r="248" spans="2:8" s="1" customFormat="1" ht="14.25" thickBot="1" x14ac:dyDescent="0.2">
      <c r="B248" s="34"/>
      <c r="C248" s="18" t="s">
        <v>16</v>
      </c>
      <c r="D248" s="19" t="s">
        <v>39</v>
      </c>
      <c r="E248" s="20" t="s">
        <v>17</v>
      </c>
      <c r="F248" s="21" t="s">
        <v>71</v>
      </c>
      <c r="G248" s="22" t="s">
        <v>20</v>
      </c>
      <c r="H248" s="23" t="s">
        <v>37</v>
      </c>
    </row>
    <row r="249" spans="2:8" s="1" customFormat="1" x14ac:dyDescent="0.15">
      <c r="B249" s="13" t="s">
        <v>1</v>
      </c>
      <c r="C249" s="14" t="s">
        <v>0</v>
      </c>
      <c r="D249" s="29" t="s">
        <v>165</v>
      </c>
      <c r="E249" s="30"/>
      <c r="F249" s="31"/>
      <c r="G249" s="15" t="s">
        <v>57</v>
      </c>
      <c r="H249" s="16" t="s">
        <v>74</v>
      </c>
    </row>
    <row r="250" spans="2:8" s="1" customFormat="1" x14ac:dyDescent="0.15">
      <c r="B250" s="32">
        <v>200048</v>
      </c>
      <c r="C250" s="2" t="s">
        <v>2</v>
      </c>
      <c r="D250" s="9">
        <f>ROUND(C12*880,0)</f>
        <v>9240</v>
      </c>
      <c r="E250" s="3" t="s">
        <v>3</v>
      </c>
      <c r="F250" s="11">
        <f>ROUND(C12*980,0)</f>
        <v>10290</v>
      </c>
      <c r="G250" s="4" t="s">
        <v>8</v>
      </c>
      <c r="H250" s="17" t="s">
        <v>75</v>
      </c>
    </row>
    <row r="251" spans="2:8" s="1" customFormat="1" ht="13.5" customHeight="1" x14ac:dyDescent="0.15">
      <c r="B251" s="33"/>
      <c r="C251" s="5" t="s">
        <v>4</v>
      </c>
      <c r="D251" s="9">
        <f>ROUND(C12*680,0)</f>
        <v>7140</v>
      </c>
      <c r="E251" s="6" t="s">
        <v>5</v>
      </c>
      <c r="F251" s="11">
        <f>ROUND(C12*1936,0)</f>
        <v>20328</v>
      </c>
      <c r="G251" s="35">
        <v>100</v>
      </c>
      <c r="H251" s="17"/>
    </row>
    <row r="252" spans="2:8" s="1" customFormat="1" ht="13.5" customHeight="1" x14ac:dyDescent="0.15">
      <c r="B252" s="33"/>
      <c r="C252" s="7" t="s">
        <v>6</v>
      </c>
      <c r="D252" s="10">
        <v>4</v>
      </c>
      <c r="E252" s="8" t="s">
        <v>7</v>
      </c>
      <c r="F252" s="12">
        <f>ROUND(C12*480,0)</f>
        <v>5040</v>
      </c>
      <c r="G252" s="36"/>
      <c r="H252" s="17"/>
    </row>
    <row r="253" spans="2:8" s="1" customFormat="1" ht="14.25" thickBot="1" x14ac:dyDescent="0.2">
      <c r="B253" s="34"/>
      <c r="C253" s="18" t="s">
        <v>16</v>
      </c>
      <c r="D253" s="19" t="s">
        <v>42</v>
      </c>
      <c r="E253" s="20" t="s">
        <v>17</v>
      </c>
      <c r="F253" s="21" t="s">
        <v>113</v>
      </c>
      <c r="G253" s="22" t="s">
        <v>20</v>
      </c>
      <c r="H253" s="23" t="s">
        <v>37</v>
      </c>
    </row>
    <row r="254" spans="2:8" s="1" customFormat="1" x14ac:dyDescent="0.15">
      <c r="B254" s="13" t="s">
        <v>1</v>
      </c>
      <c r="C254" s="14" t="s">
        <v>0</v>
      </c>
      <c r="D254" s="29" t="s">
        <v>166</v>
      </c>
      <c r="E254" s="30"/>
      <c r="F254" s="31"/>
      <c r="G254" s="15" t="s">
        <v>57</v>
      </c>
      <c r="H254" s="16" t="s">
        <v>167</v>
      </c>
    </row>
    <row r="255" spans="2:8" s="1" customFormat="1" x14ac:dyDescent="0.15">
      <c r="B255" s="32">
        <v>200049</v>
      </c>
      <c r="C255" s="2" t="s">
        <v>2</v>
      </c>
      <c r="D255" s="9">
        <f>ROUND(C12*880,0)</f>
        <v>9240</v>
      </c>
      <c r="E255" s="3" t="s">
        <v>3</v>
      </c>
      <c r="F255" s="11">
        <f>ROUND(C12*476,0)</f>
        <v>4998</v>
      </c>
      <c r="G255" s="4" t="s">
        <v>8</v>
      </c>
      <c r="H255" s="17" t="s">
        <v>168</v>
      </c>
    </row>
    <row r="256" spans="2:8" s="1" customFormat="1" ht="13.5" customHeight="1" x14ac:dyDescent="0.15">
      <c r="B256" s="33"/>
      <c r="C256" s="5" t="s">
        <v>4</v>
      </c>
      <c r="D256" s="9">
        <f>ROUND(C12*680,0)</f>
        <v>7140</v>
      </c>
      <c r="E256" s="6" t="s">
        <v>5</v>
      </c>
      <c r="F256" s="11">
        <f>ROUND(C12*880,0)</f>
        <v>9240</v>
      </c>
      <c r="G256" s="35">
        <v>50</v>
      </c>
      <c r="H256" s="17"/>
    </row>
    <row r="257" spans="2:8" s="1" customFormat="1" ht="13.5" customHeight="1" x14ac:dyDescent="0.15">
      <c r="B257" s="33"/>
      <c r="C257" s="7" t="s">
        <v>6</v>
      </c>
      <c r="D257" s="10">
        <v>7</v>
      </c>
      <c r="E257" s="8" t="s">
        <v>7</v>
      </c>
      <c r="F257" s="12">
        <f>ROUND(C12*530,0)</f>
        <v>5565</v>
      </c>
      <c r="G257" s="36"/>
      <c r="H257" s="17"/>
    </row>
    <row r="258" spans="2:8" s="1" customFormat="1" ht="14.25" thickBot="1" x14ac:dyDescent="0.2">
      <c r="B258" s="34"/>
      <c r="C258" s="18" t="s">
        <v>16</v>
      </c>
      <c r="D258" s="19" t="s">
        <v>372</v>
      </c>
      <c r="E258" s="20" t="s">
        <v>17</v>
      </c>
      <c r="F258" s="21" t="s">
        <v>32</v>
      </c>
      <c r="G258" s="22" t="s">
        <v>20</v>
      </c>
      <c r="H258" s="23" t="s">
        <v>114</v>
      </c>
    </row>
    <row r="259" spans="2:8" s="1" customFormat="1" x14ac:dyDescent="0.15">
      <c r="B259" s="13" t="s">
        <v>1</v>
      </c>
      <c r="C259" s="14" t="s">
        <v>0</v>
      </c>
      <c r="D259" s="29" t="s">
        <v>169</v>
      </c>
      <c r="E259" s="30"/>
      <c r="F259" s="31"/>
      <c r="G259" s="15" t="s">
        <v>57</v>
      </c>
      <c r="H259" s="16" t="s">
        <v>80</v>
      </c>
    </row>
    <row r="260" spans="2:8" s="1" customFormat="1" x14ac:dyDescent="0.15">
      <c r="B260" s="32">
        <v>200050</v>
      </c>
      <c r="C260" s="2" t="s">
        <v>2</v>
      </c>
      <c r="D260" s="9">
        <f>ROUND(C12*880,0)</f>
        <v>9240</v>
      </c>
      <c r="E260" s="3" t="s">
        <v>3</v>
      </c>
      <c r="F260" s="11">
        <f>ROUND(C12*476,0)</f>
        <v>4998</v>
      </c>
      <c r="G260" s="4" t="s">
        <v>8</v>
      </c>
      <c r="H260" s="17" t="s">
        <v>81</v>
      </c>
    </row>
    <row r="261" spans="2:8" s="1" customFormat="1" ht="13.5" customHeight="1" x14ac:dyDescent="0.15">
      <c r="B261" s="33"/>
      <c r="C261" s="5" t="s">
        <v>4</v>
      </c>
      <c r="D261" s="9">
        <f>ROUND(C12*680,0)</f>
        <v>7140</v>
      </c>
      <c r="E261" s="6" t="s">
        <v>5</v>
      </c>
      <c r="F261" s="11">
        <f>ROUND(C12*880,0)</f>
        <v>9240</v>
      </c>
      <c r="G261" s="35">
        <v>100</v>
      </c>
      <c r="H261" s="17"/>
    </row>
    <row r="262" spans="2:8" s="1" customFormat="1" ht="13.5" customHeight="1" x14ac:dyDescent="0.15">
      <c r="B262" s="33"/>
      <c r="C262" s="7" t="s">
        <v>6</v>
      </c>
      <c r="D262" s="10">
        <v>7</v>
      </c>
      <c r="E262" s="8" t="s">
        <v>7</v>
      </c>
      <c r="F262" s="12">
        <f>ROUND(C12*530,0)</f>
        <v>5565</v>
      </c>
      <c r="G262" s="36"/>
      <c r="H262" s="17"/>
    </row>
    <row r="263" spans="2:8" s="1" customFormat="1" ht="14.25" thickBot="1" x14ac:dyDescent="0.2">
      <c r="B263" s="34"/>
      <c r="C263" s="18" t="s">
        <v>16</v>
      </c>
      <c r="D263" s="19" t="s">
        <v>410</v>
      </c>
      <c r="E263" s="20" t="s">
        <v>17</v>
      </c>
      <c r="F263" s="21" t="s">
        <v>218</v>
      </c>
      <c r="G263" s="22" t="s">
        <v>20</v>
      </c>
      <c r="H263" s="23" t="s">
        <v>37</v>
      </c>
    </row>
    <row r="264" spans="2:8" s="1" customFormat="1" x14ac:dyDescent="0.15">
      <c r="B264" s="13" t="s">
        <v>1</v>
      </c>
      <c r="C264" s="14" t="s">
        <v>0</v>
      </c>
      <c r="D264" s="29" t="s">
        <v>170</v>
      </c>
      <c r="E264" s="30"/>
      <c r="F264" s="31"/>
      <c r="G264" s="15" t="s">
        <v>57</v>
      </c>
      <c r="H264" s="16" t="s">
        <v>35</v>
      </c>
    </row>
    <row r="265" spans="2:8" s="1" customFormat="1" x14ac:dyDescent="0.15">
      <c r="B265" s="32">
        <v>200051</v>
      </c>
      <c r="C265" s="2" t="s">
        <v>2</v>
      </c>
      <c r="D265" s="9">
        <f>ROUND(C12*880,0)</f>
        <v>9240</v>
      </c>
      <c r="E265" s="3" t="s">
        <v>3</v>
      </c>
      <c r="F265" s="11">
        <f>ROUND(C12*980,0)</f>
        <v>10290</v>
      </c>
      <c r="G265" s="4" t="s">
        <v>8</v>
      </c>
      <c r="H265" s="17" t="s">
        <v>23</v>
      </c>
    </row>
    <row r="266" spans="2:8" s="1" customFormat="1" ht="13.5" customHeight="1" x14ac:dyDescent="0.15">
      <c r="B266" s="33"/>
      <c r="C266" s="5" t="s">
        <v>4</v>
      </c>
      <c r="D266" s="9">
        <f>ROUND(C12*680,0)</f>
        <v>7140</v>
      </c>
      <c r="E266" s="6" t="s">
        <v>5</v>
      </c>
      <c r="F266" s="11">
        <f>ROUND(C12*1936,0)</f>
        <v>20328</v>
      </c>
      <c r="G266" s="35">
        <v>100</v>
      </c>
      <c r="H266" s="17"/>
    </row>
    <row r="267" spans="2:8" s="1" customFormat="1" ht="13.5" customHeight="1" x14ac:dyDescent="0.15">
      <c r="B267" s="33"/>
      <c r="C267" s="7" t="s">
        <v>6</v>
      </c>
      <c r="D267" s="10">
        <v>4</v>
      </c>
      <c r="E267" s="8" t="s">
        <v>7</v>
      </c>
      <c r="F267" s="12">
        <f>ROUND(C12*370,0)</f>
        <v>3885</v>
      </c>
      <c r="G267" s="36"/>
      <c r="H267" s="17"/>
    </row>
    <row r="268" spans="2:8" s="1" customFormat="1" ht="14.25" thickBot="1" x14ac:dyDescent="0.2">
      <c r="B268" s="34"/>
      <c r="C268" s="18" t="s">
        <v>16</v>
      </c>
      <c r="D268" s="19" t="s">
        <v>411</v>
      </c>
      <c r="E268" s="20" t="s">
        <v>17</v>
      </c>
      <c r="F268" s="21" t="s">
        <v>392</v>
      </c>
      <c r="G268" s="22" t="s">
        <v>20</v>
      </c>
      <c r="H268" s="23" t="s">
        <v>37</v>
      </c>
    </row>
    <row r="269" spans="2:8" s="1" customFormat="1" x14ac:dyDescent="0.15">
      <c r="B269" s="13" t="s">
        <v>1</v>
      </c>
      <c r="C269" s="14" t="s">
        <v>0</v>
      </c>
      <c r="D269" s="29" t="s">
        <v>171</v>
      </c>
      <c r="E269" s="30"/>
      <c r="F269" s="31"/>
      <c r="G269" s="15" t="s">
        <v>57</v>
      </c>
      <c r="H269" s="16" t="s">
        <v>77</v>
      </c>
    </row>
    <row r="270" spans="2:8" s="1" customFormat="1" x14ac:dyDescent="0.15">
      <c r="B270" s="32">
        <v>200052</v>
      </c>
      <c r="C270" s="2" t="s">
        <v>2</v>
      </c>
      <c r="D270" s="9">
        <f>ROUND(C12*880,0)</f>
        <v>9240</v>
      </c>
      <c r="E270" s="3" t="s">
        <v>3</v>
      </c>
      <c r="F270" s="11">
        <f>ROUND(C12*476,0)</f>
        <v>4998</v>
      </c>
      <c r="G270" s="4" t="s">
        <v>8</v>
      </c>
      <c r="H270" s="17" t="s">
        <v>78</v>
      </c>
    </row>
    <row r="271" spans="2:8" s="1" customFormat="1" ht="13.5" customHeight="1" x14ac:dyDescent="0.15">
      <c r="B271" s="33"/>
      <c r="C271" s="5" t="s">
        <v>4</v>
      </c>
      <c r="D271" s="9">
        <f>ROUND(C12*680,0)</f>
        <v>7140</v>
      </c>
      <c r="E271" s="6" t="s">
        <v>5</v>
      </c>
      <c r="F271" s="11">
        <f>ROUND(C12*880,0)</f>
        <v>9240</v>
      </c>
      <c r="G271" s="35">
        <v>100</v>
      </c>
      <c r="H271" s="17"/>
    </row>
    <row r="272" spans="2:8" s="1" customFormat="1" ht="13.5" customHeight="1" x14ac:dyDescent="0.15">
      <c r="B272" s="33"/>
      <c r="C272" s="7" t="s">
        <v>6</v>
      </c>
      <c r="D272" s="10">
        <v>7</v>
      </c>
      <c r="E272" s="8" t="s">
        <v>7</v>
      </c>
      <c r="F272" s="12">
        <f>ROUND(C12*530,0)</f>
        <v>5565</v>
      </c>
      <c r="G272" s="36"/>
      <c r="H272" s="17"/>
    </row>
    <row r="273" spans="2:8" s="1" customFormat="1" ht="14.25" thickBot="1" x14ac:dyDescent="0.2">
      <c r="B273" s="34"/>
      <c r="C273" s="18" t="s">
        <v>16</v>
      </c>
      <c r="D273" s="19" t="s">
        <v>393</v>
      </c>
      <c r="E273" s="20" t="s">
        <v>17</v>
      </c>
      <c r="F273" s="21" t="s">
        <v>54</v>
      </c>
      <c r="G273" s="22" t="s">
        <v>20</v>
      </c>
      <c r="H273" s="23" t="s">
        <v>37</v>
      </c>
    </row>
    <row r="274" spans="2:8" s="1" customFormat="1" x14ac:dyDescent="0.15">
      <c r="B274" s="13" t="s">
        <v>1</v>
      </c>
      <c r="C274" s="14" t="s">
        <v>0</v>
      </c>
      <c r="D274" s="29" t="s">
        <v>172</v>
      </c>
      <c r="E274" s="30"/>
      <c r="F274" s="31"/>
      <c r="G274" s="15" t="s">
        <v>57</v>
      </c>
      <c r="H274" s="16" t="s">
        <v>173</v>
      </c>
    </row>
    <row r="275" spans="2:8" s="1" customFormat="1" x14ac:dyDescent="0.15">
      <c r="B275" s="32">
        <v>200053</v>
      </c>
      <c r="C275" s="2" t="s">
        <v>2</v>
      </c>
      <c r="D275" s="9">
        <f>ROUND(C12*880,0)</f>
        <v>9240</v>
      </c>
      <c r="E275" s="3" t="s">
        <v>3</v>
      </c>
      <c r="F275" s="11">
        <f>ROUND(C12*476,0)</f>
        <v>4998</v>
      </c>
      <c r="G275" s="4" t="s">
        <v>8</v>
      </c>
      <c r="H275" s="17" t="s">
        <v>174</v>
      </c>
    </row>
    <row r="276" spans="2:8" s="1" customFormat="1" ht="13.5" customHeight="1" x14ac:dyDescent="0.15">
      <c r="B276" s="33"/>
      <c r="C276" s="5" t="s">
        <v>4</v>
      </c>
      <c r="D276" s="9">
        <f>ROUND(C12*680,0)</f>
        <v>7140</v>
      </c>
      <c r="E276" s="6" t="s">
        <v>5</v>
      </c>
      <c r="F276" s="11">
        <f>ROUND(C12*880,0)</f>
        <v>9240</v>
      </c>
      <c r="G276" s="35">
        <v>100</v>
      </c>
      <c r="H276" s="17"/>
    </row>
    <row r="277" spans="2:8" s="1" customFormat="1" ht="13.5" customHeight="1" x14ac:dyDescent="0.15">
      <c r="B277" s="33"/>
      <c r="C277" s="7" t="s">
        <v>6</v>
      </c>
      <c r="D277" s="10">
        <v>7</v>
      </c>
      <c r="E277" s="8" t="s">
        <v>7</v>
      </c>
      <c r="F277" s="12">
        <f>ROUND(C12*530,0)</f>
        <v>5565</v>
      </c>
      <c r="G277" s="36"/>
      <c r="H277" s="17"/>
    </row>
    <row r="278" spans="2:8" s="1" customFormat="1" ht="14.25" thickBot="1" x14ac:dyDescent="0.2">
      <c r="B278" s="34"/>
      <c r="C278" s="18" t="s">
        <v>16</v>
      </c>
      <c r="D278" s="19" t="s">
        <v>408</v>
      </c>
      <c r="E278" s="20" t="s">
        <v>17</v>
      </c>
      <c r="F278" s="21" t="s">
        <v>36</v>
      </c>
      <c r="G278" s="22" t="s">
        <v>20</v>
      </c>
      <c r="H278" s="23" t="s">
        <v>37</v>
      </c>
    </row>
    <row r="279" spans="2:8" s="1" customFormat="1" x14ac:dyDescent="0.15">
      <c r="B279" s="13" t="s">
        <v>1</v>
      </c>
      <c r="C279" s="14" t="s">
        <v>0</v>
      </c>
      <c r="D279" s="29" t="s">
        <v>175</v>
      </c>
      <c r="E279" s="30"/>
      <c r="F279" s="31"/>
      <c r="G279" s="15" t="s">
        <v>57</v>
      </c>
      <c r="H279" s="16" t="s">
        <v>91</v>
      </c>
    </row>
    <row r="280" spans="2:8" s="1" customFormat="1" x14ac:dyDescent="0.15">
      <c r="B280" s="32">
        <v>200054</v>
      </c>
      <c r="C280" s="2" t="s">
        <v>2</v>
      </c>
      <c r="D280" s="9">
        <f>ROUND(C12*880,0)</f>
        <v>9240</v>
      </c>
      <c r="E280" s="3" t="s">
        <v>3</v>
      </c>
      <c r="F280" s="11">
        <f>ROUND(C12*980,0)</f>
        <v>10290</v>
      </c>
      <c r="G280" s="4" t="s">
        <v>8</v>
      </c>
      <c r="H280" s="17" t="s">
        <v>92</v>
      </c>
    </row>
    <row r="281" spans="2:8" s="1" customFormat="1" ht="13.5" customHeight="1" x14ac:dyDescent="0.15">
      <c r="B281" s="33"/>
      <c r="C281" s="5" t="s">
        <v>4</v>
      </c>
      <c r="D281" s="9">
        <f>ROUND(C12*680,0)</f>
        <v>7140</v>
      </c>
      <c r="E281" s="6" t="s">
        <v>5</v>
      </c>
      <c r="F281" s="11">
        <f>ROUND(C12*1936,0)</f>
        <v>20328</v>
      </c>
      <c r="G281" s="35">
        <v>100</v>
      </c>
      <c r="H281" s="17"/>
    </row>
    <row r="282" spans="2:8" s="1" customFormat="1" ht="13.5" customHeight="1" x14ac:dyDescent="0.15">
      <c r="B282" s="33"/>
      <c r="C282" s="7" t="s">
        <v>6</v>
      </c>
      <c r="D282" s="10">
        <v>4</v>
      </c>
      <c r="E282" s="8" t="s">
        <v>7</v>
      </c>
      <c r="F282" s="12">
        <f>ROUND(C12*530,0)</f>
        <v>5565</v>
      </c>
      <c r="G282" s="36"/>
      <c r="H282" s="17"/>
    </row>
    <row r="283" spans="2:8" s="1" customFormat="1" ht="14.25" thickBot="1" x14ac:dyDescent="0.2">
      <c r="B283" s="34"/>
      <c r="C283" s="18" t="s">
        <v>16</v>
      </c>
      <c r="D283" s="19" t="s">
        <v>393</v>
      </c>
      <c r="E283" s="20" t="s">
        <v>17</v>
      </c>
      <c r="F283" s="21" t="s">
        <v>397</v>
      </c>
      <c r="G283" s="22" t="s">
        <v>20</v>
      </c>
      <c r="H283" s="23" t="s">
        <v>37</v>
      </c>
    </row>
    <row r="284" spans="2:8" s="1" customFormat="1" x14ac:dyDescent="0.15">
      <c r="B284" s="13" t="s">
        <v>1</v>
      </c>
      <c r="C284" s="14" t="s">
        <v>0</v>
      </c>
      <c r="D284" s="29" t="s">
        <v>176</v>
      </c>
      <c r="E284" s="30"/>
      <c r="F284" s="31"/>
      <c r="G284" s="15" t="s">
        <v>57</v>
      </c>
      <c r="H284" s="16" t="s">
        <v>177</v>
      </c>
    </row>
    <row r="285" spans="2:8" s="1" customFormat="1" x14ac:dyDescent="0.15">
      <c r="B285" s="32">
        <v>200055</v>
      </c>
      <c r="C285" s="2" t="s">
        <v>2</v>
      </c>
      <c r="D285" s="9">
        <f>ROUND(C12*880,0)</f>
        <v>9240</v>
      </c>
      <c r="E285" s="3" t="s">
        <v>3</v>
      </c>
      <c r="F285" s="11">
        <f>ROUND(C12*476,0)</f>
        <v>4998</v>
      </c>
      <c r="G285" s="4" t="s">
        <v>8</v>
      </c>
      <c r="H285" s="17" t="s">
        <v>178</v>
      </c>
    </row>
    <row r="286" spans="2:8" s="1" customFormat="1" ht="13.5" customHeight="1" x14ac:dyDescent="0.15">
      <c r="B286" s="33"/>
      <c r="C286" s="5" t="s">
        <v>4</v>
      </c>
      <c r="D286" s="9">
        <f>ROUND(C12*680,0)</f>
        <v>7140</v>
      </c>
      <c r="E286" s="6" t="s">
        <v>5</v>
      </c>
      <c r="F286" s="11">
        <f>ROUND(C12*880,0)</f>
        <v>9240</v>
      </c>
      <c r="G286" s="35">
        <v>100</v>
      </c>
      <c r="H286" s="17"/>
    </row>
    <row r="287" spans="2:8" s="1" customFormat="1" ht="13.5" customHeight="1" x14ac:dyDescent="0.15">
      <c r="B287" s="33"/>
      <c r="C287" s="7" t="s">
        <v>6</v>
      </c>
      <c r="D287" s="10">
        <v>7</v>
      </c>
      <c r="E287" s="8" t="s">
        <v>7</v>
      </c>
      <c r="F287" s="12">
        <f>ROUND(C12*530,0)</f>
        <v>5565</v>
      </c>
      <c r="G287" s="36"/>
      <c r="H287" s="17"/>
    </row>
    <row r="288" spans="2:8" s="1" customFormat="1" ht="14.25" thickBot="1" x14ac:dyDescent="0.2">
      <c r="B288" s="34"/>
      <c r="C288" s="18" t="s">
        <v>16</v>
      </c>
      <c r="D288" s="19" t="s">
        <v>412</v>
      </c>
      <c r="E288" s="20" t="s">
        <v>17</v>
      </c>
      <c r="F288" s="21" t="s">
        <v>397</v>
      </c>
      <c r="G288" s="22" t="s">
        <v>20</v>
      </c>
      <c r="H288" s="23" t="s">
        <v>37</v>
      </c>
    </row>
    <row r="289" spans="2:8" s="1" customFormat="1" x14ac:dyDescent="0.15">
      <c r="B289" s="13" t="s">
        <v>1</v>
      </c>
      <c r="C289" s="14" t="s">
        <v>0</v>
      </c>
      <c r="D289" s="29" t="s">
        <v>179</v>
      </c>
      <c r="E289" s="30"/>
      <c r="F289" s="31"/>
      <c r="G289" s="15" t="s">
        <v>57</v>
      </c>
      <c r="H289" s="16" t="s">
        <v>41</v>
      </c>
    </row>
    <row r="290" spans="2:8" s="1" customFormat="1" x14ac:dyDescent="0.15">
      <c r="B290" s="32">
        <v>200056</v>
      </c>
      <c r="C290" s="2" t="s">
        <v>2</v>
      </c>
      <c r="D290" s="9">
        <f>ROUND(C12*880,0)</f>
        <v>9240</v>
      </c>
      <c r="E290" s="3" t="s">
        <v>3</v>
      </c>
      <c r="F290" s="11">
        <f>ROUND(C12*476,0)</f>
        <v>4998</v>
      </c>
      <c r="G290" s="4" t="s">
        <v>8</v>
      </c>
      <c r="H290" s="17" t="s">
        <v>25</v>
      </c>
    </row>
    <row r="291" spans="2:8" s="1" customFormat="1" ht="13.5" customHeight="1" x14ac:dyDescent="0.15">
      <c r="B291" s="33"/>
      <c r="C291" s="5" t="s">
        <v>4</v>
      </c>
      <c r="D291" s="9">
        <f>ROUND(C12*680,0)</f>
        <v>7140</v>
      </c>
      <c r="E291" s="6" t="s">
        <v>5</v>
      </c>
      <c r="F291" s="11">
        <f>ROUND(C12*880,0)</f>
        <v>9240</v>
      </c>
      <c r="G291" s="35">
        <v>100</v>
      </c>
      <c r="H291" s="17"/>
    </row>
    <row r="292" spans="2:8" s="1" customFormat="1" ht="13.5" customHeight="1" x14ac:dyDescent="0.15">
      <c r="B292" s="33"/>
      <c r="C292" s="7" t="s">
        <v>6</v>
      </c>
      <c r="D292" s="10">
        <v>7</v>
      </c>
      <c r="E292" s="8" t="s">
        <v>7</v>
      </c>
      <c r="F292" s="12">
        <f>ROUND(C12*480,0)</f>
        <v>5040</v>
      </c>
      <c r="G292" s="36"/>
      <c r="H292" s="17"/>
    </row>
    <row r="293" spans="2:8" s="1" customFormat="1" ht="14.25" thickBot="1" x14ac:dyDescent="0.2">
      <c r="B293" s="34"/>
      <c r="C293" s="18" t="s">
        <v>16</v>
      </c>
      <c r="D293" s="19" t="s">
        <v>43</v>
      </c>
      <c r="E293" s="20" t="s">
        <v>17</v>
      </c>
      <c r="F293" s="21" t="s">
        <v>36</v>
      </c>
      <c r="G293" s="22" t="s">
        <v>20</v>
      </c>
      <c r="H293" s="23" t="s">
        <v>37</v>
      </c>
    </row>
    <row r="294" spans="2:8" s="1" customFormat="1" x14ac:dyDescent="0.15">
      <c r="B294" s="13" t="s">
        <v>1</v>
      </c>
      <c r="C294" s="14" t="s">
        <v>0</v>
      </c>
      <c r="D294" s="29" t="s">
        <v>180</v>
      </c>
      <c r="E294" s="30"/>
      <c r="F294" s="31"/>
      <c r="G294" s="15" t="s">
        <v>57</v>
      </c>
      <c r="H294" s="16" t="s">
        <v>124</v>
      </c>
    </row>
    <row r="295" spans="2:8" s="1" customFormat="1" x14ac:dyDescent="0.15">
      <c r="B295" s="32">
        <v>200057</v>
      </c>
      <c r="C295" s="2" t="s">
        <v>2</v>
      </c>
      <c r="D295" s="9">
        <f>ROUND(C12*880,0)</f>
        <v>9240</v>
      </c>
      <c r="E295" s="3" t="s">
        <v>3</v>
      </c>
      <c r="F295" s="11">
        <f>ROUND(C12*476,0)</f>
        <v>4998</v>
      </c>
      <c r="G295" s="4" t="s">
        <v>8</v>
      </c>
      <c r="H295" s="17" t="s">
        <v>403</v>
      </c>
    </row>
    <row r="296" spans="2:8" s="1" customFormat="1" ht="13.5" customHeight="1" x14ac:dyDescent="0.15">
      <c r="B296" s="33"/>
      <c r="C296" s="5" t="s">
        <v>4</v>
      </c>
      <c r="D296" s="9">
        <f>ROUND(C12*680,0)</f>
        <v>7140</v>
      </c>
      <c r="E296" s="6" t="s">
        <v>5</v>
      </c>
      <c r="F296" s="11">
        <f>ROUND(C12*880,0)</f>
        <v>9240</v>
      </c>
      <c r="G296" s="35">
        <v>30</v>
      </c>
      <c r="H296" s="17"/>
    </row>
    <row r="297" spans="2:8" s="1" customFormat="1" ht="13.5" customHeight="1" x14ac:dyDescent="0.15">
      <c r="B297" s="33"/>
      <c r="C297" s="7" t="s">
        <v>6</v>
      </c>
      <c r="D297" s="10">
        <v>7</v>
      </c>
      <c r="E297" s="8" t="s">
        <v>7</v>
      </c>
      <c r="F297" s="12">
        <f>ROUND(C12*370,0)</f>
        <v>3885</v>
      </c>
      <c r="G297" s="36"/>
      <c r="H297" s="17"/>
    </row>
    <row r="298" spans="2:8" s="1" customFormat="1" ht="14.25" thickBot="1" x14ac:dyDescent="0.2">
      <c r="B298" s="34"/>
      <c r="C298" s="18" t="s">
        <v>16</v>
      </c>
      <c r="D298" s="19" t="s">
        <v>377</v>
      </c>
      <c r="E298" s="20" t="s">
        <v>17</v>
      </c>
      <c r="F298" s="21" t="s">
        <v>56</v>
      </c>
      <c r="G298" s="22" t="s">
        <v>20</v>
      </c>
      <c r="H298" s="23" t="s">
        <v>37</v>
      </c>
    </row>
    <row r="299" spans="2:8" s="1" customFormat="1" x14ac:dyDescent="0.15">
      <c r="B299" s="13" t="s">
        <v>1</v>
      </c>
      <c r="C299" s="14" t="s">
        <v>0</v>
      </c>
      <c r="D299" s="29" t="s">
        <v>181</v>
      </c>
      <c r="E299" s="30"/>
      <c r="F299" s="31"/>
      <c r="G299" s="15" t="s">
        <v>57</v>
      </c>
      <c r="H299" s="16" t="s">
        <v>50</v>
      </c>
    </row>
    <row r="300" spans="2:8" s="1" customFormat="1" x14ac:dyDescent="0.15">
      <c r="B300" s="32">
        <v>200058</v>
      </c>
      <c r="C300" s="2" t="s">
        <v>2</v>
      </c>
      <c r="D300" s="9">
        <f>ROUND(C12*880,0)</f>
        <v>9240</v>
      </c>
      <c r="E300" s="3" t="s">
        <v>3</v>
      </c>
      <c r="F300" s="11">
        <f>ROUND(C12*980,0)</f>
        <v>10290</v>
      </c>
      <c r="G300" s="4" t="s">
        <v>8</v>
      </c>
      <c r="H300" s="17" t="s">
        <v>29</v>
      </c>
    </row>
    <row r="301" spans="2:8" s="1" customFormat="1" ht="13.5" customHeight="1" x14ac:dyDescent="0.15">
      <c r="B301" s="33"/>
      <c r="C301" s="5" t="s">
        <v>4</v>
      </c>
      <c r="D301" s="9">
        <f>ROUND(C12*680,0)</f>
        <v>7140</v>
      </c>
      <c r="E301" s="6" t="s">
        <v>5</v>
      </c>
      <c r="F301" s="11">
        <f>ROUND(C12*1936,0)</f>
        <v>20328</v>
      </c>
      <c r="G301" s="35">
        <v>100</v>
      </c>
      <c r="H301" s="17"/>
    </row>
    <row r="302" spans="2:8" s="1" customFormat="1" ht="13.5" customHeight="1" x14ac:dyDescent="0.15">
      <c r="B302" s="33"/>
      <c r="C302" s="7" t="s">
        <v>6</v>
      </c>
      <c r="D302" s="10">
        <v>4</v>
      </c>
      <c r="E302" s="8" t="s">
        <v>7</v>
      </c>
      <c r="F302" s="12">
        <f>ROUND(C12*480,0)</f>
        <v>5040</v>
      </c>
      <c r="G302" s="36"/>
      <c r="H302" s="17"/>
    </row>
    <row r="303" spans="2:8" s="1" customFormat="1" ht="14.25" thickBot="1" x14ac:dyDescent="0.2">
      <c r="B303" s="34"/>
      <c r="C303" s="18" t="s">
        <v>16</v>
      </c>
      <c r="D303" s="19" t="s">
        <v>372</v>
      </c>
      <c r="E303" s="20" t="s">
        <v>17</v>
      </c>
      <c r="F303" s="21" t="s">
        <v>113</v>
      </c>
      <c r="G303" s="22" t="s">
        <v>20</v>
      </c>
      <c r="H303" s="23" t="s">
        <v>37</v>
      </c>
    </row>
    <row r="304" spans="2:8" s="1" customFormat="1" x14ac:dyDescent="0.15">
      <c r="B304" s="13" t="s">
        <v>1</v>
      </c>
      <c r="C304" s="14" t="s">
        <v>0</v>
      </c>
      <c r="D304" s="29" t="s">
        <v>182</v>
      </c>
      <c r="E304" s="30"/>
      <c r="F304" s="31"/>
      <c r="G304" s="15" t="s">
        <v>57</v>
      </c>
      <c r="H304" s="16" t="s">
        <v>31</v>
      </c>
    </row>
    <row r="305" spans="2:8" s="1" customFormat="1" x14ac:dyDescent="0.15">
      <c r="B305" s="32">
        <v>200059</v>
      </c>
      <c r="C305" s="2" t="s">
        <v>2</v>
      </c>
      <c r="D305" s="9">
        <f>ROUND(C12*880,0)</f>
        <v>9240</v>
      </c>
      <c r="E305" s="3" t="s">
        <v>3</v>
      </c>
      <c r="F305" s="11">
        <f>ROUND(C12*476,0)</f>
        <v>4998</v>
      </c>
      <c r="G305" s="4" t="s">
        <v>8</v>
      </c>
      <c r="H305" s="17" t="s">
        <v>22</v>
      </c>
    </row>
    <row r="306" spans="2:8" s="1" customFormat="1" ht="13.5" customHeight="1" x14ac:dyDescent="0.15">
      <c r="B306" s="33"/>
      <c r="C306" s="5" t="s">
        <v>4</v>
      </c>
      <c r="D306" s="9">
        <f>ROUND(C12*680,0)</f>
        <v>7140</v>
      </c>
      <c r="E306" s="6" t="s">
        <v>5</v>
      </c>
      <c r="F306" s="11">
        <f>ROUND(C12*880,0)</f>
        <v>9240</v>
      </c>
      <c r="G306" s="35">
        <v>50</v>
      </c>
      <c r="H306" s="17"/>
    </row>
    <row r="307" spans="2:8" s="1" customFormat="1" ht="13.5" customHeight="1" x14ac:dyDescent="0.15">
      <c r="B307" s="33"/>
      <c r="C307" s="7" t="s">
        <v>6</v>
      </c>
      <c r="D307" s="10">
        <v>7</v>
      </c>
      <c r="E307" s="8" t="s">
        <v>7</v>
      </c>
      <c r="F307" s="12">
        <f>ROUND(C12*370,0)</f>
        <v>3885</v>
      </c>
      <c r="G307" s="36"/>
      <c r="H307" s="17"/>
    </row>
    <row r="308" spans="2:8" s="1" customFormat="1" ht="14.25" thickBot="1" x14ac:dyDescent="0.2">
      <c r="B308" s="34"/>
      <c r="C308" s="18" t="s">
        <v>16</v>
      </c>
      <c r="D308" s="19" t="s">
        <v>413</v>
      </c>
      <c r="E308" s="20" t="s">
        <v>17</v>
      </c>
      <c r="F308" s="21" t="s">
        <v>54</v>
      </c>
      <c r="G308" s="22" t="s">
        <v>20</v>
      </c>
      <c r="H308" s="23" t="s">
        <v>183</v>
      </c>
    </row>
    <row r="309" spans="2:8" s="1" customFormat="1" x14ac:dyDescent="0.15">
      <c r="B309" s="13" t="s">
        <v>1</v>
      </c>
      <c r="C309" s="14" t="s">
        <v>0</v>
      </c>
      <c r="D309" s="29" t="s">
        <v>184</v>
      </c>
      <c r="E309" s="30"/>
      <c r="F309" s="31"/>
      <c r="G309" s="15" t="s">
        <v>57</v>
      </c>
      <c r="H309" s="16" t="s">
        <v>98</v>
      </c>
    </row>
    <row r="310" spans="2:8" s="1" customFormat="1" x14ac:dyDescent="0.15">
      <c r="B310" s="32">
        <v>200060</v>
      </c>
      <c r="C310" s="2" t="s">
        <v>2</v>
      </c>
      <c r="D310" s="9">
        <f>ROUND(C12*880,0)</f>
        <v>9240</v>
      </c>
      <c r="E310" s="3" t="s">
        <v>3</v>
      </c>
      <c r="F310" s="11">
        <f>ROUND(C12*476,0)</f>
        <v>4998</v>
      </c>
      <c r="G310" s="4" t="s">
        <v>8</v>
      </c>
      <c r="H310" s="17" t="s">
        <v>99</v>
      </c>
    </row>
    <row r="311" spans="2:8" s="1" customFormat="1" ht="13.5" customHeight="1" x14ac:dyDescent="0.15">
      <c r="B311" s="33"/>
      <c r="C311" s="5" t="s">
        <v>4</v>
      </c>
      <c r="D311" s="9">
        <f>ROUND(C12*680,0)</f>
        <v>7140</v>
      </c>
      <c r="E311" s="6" t="s">
        <v>5</v>
      </c>
      <c r="F311" s="11">
        <f>ROUND(C12*880,0)</f>
        <v>9240</v>
      </c>
      <c r="G311" s="35">
        <v>100</v>
      </c>
      <c r="H311" s="17"/>
    </row>
    <row r="312" spans="2:8" s="1" customFormat="1" ht="13.5" customHeight="1" x14ac:dyDescent="0.15">
      <c r="B312" s="33"/>
      <c r="C312" s="7" t="s">
        <v>6</v>
      </c>
      <c r="D312" s="10">
        <v>7</v>
      </c>
      <c r="E312" s="8" t="s">
        <v>7</v>
      </c>
      <c r="F312" s="12">
        <f>ROUND(C12*530,0)</f>
        <v>5565</v>
      </c>
      <c r="G312" s="36"/>
      <c r="H312" s="17"/>
    </row>
    <row r="313" spans="2:8" s="1" customFormat="1" ht="14.25" thickBot="1" x14ac:dyDescent="0.2">
      <c r="B313" s="34"/>
      <c r="C313" s="18" t="s">
        <v>16</v>
      </c>
      <c r="D313" s="19" t="s">
        <v>371</v>
      </c>
      <c r="E313" s="20" t="s">
        <v>17</v>
      </c>
      <c r="F313" s="21" t="s">
        <v>82</v>
      </c>
      <c r="G313" s="22" t="s">
        <v>20</v>
      </c>
      <c r="H313" s="23" t="s">
        <v>37</v>
      </c>
    </row>
    <row r="314" spans="2:8" s="1" customFormat="1" x14ac:dyDescent="0.15">
      <c r="B314" s="13" t="s">
        <v>1</v>
      </c>
      <c r="C314" s="14" t="s">
        <v>0</v>
      </c>
      <c r="D314" s="29" t="s">
        <v>185</v>
      </c>
      <c r="E314" s="30"/>
      <c r="F314" s="31"/>
      <c r="G314" s="15" t="s">
        <v>57</v>
      </c>
      <c r="H314" s="16" t="s">
        <v>38</v>
      </c>
    </row>
    <row r="315" spans="2:8" s="1" customFormat="1" x14ac:dyDescent="0.15">
      <c r="B315" s="32">
        <v>200061</v>
      </c>
      <c r="C315" s="2" t="s">
        <v>2</v>
      </c>
      <c r="D315" s="9">
        <f>ROUND(C12*880,0)</f>
        <v>9240</v>
      </c>
      <c r="E315" s="3" t="s">
        <v>3</v>
      </c>
      <c r="F315" s="11">
        <f>ROUND(C12*476,0)</f>
        <v>4998</v>
      </c>
      <c r="G315" s="4" t="s">
        <v>8</v>
      </c>
      <c r="H315" s="17" t="s">
        <v>24</v>
      </c>
    </row>
    <row r="316" spans="2:8" s="1" customFormat="1" ht="13.5" customHeight="1" x14ac:dyDescent="0.15">
      <c r="B316" s="33"/>
      <c r="C316" s="5" t="s">
        <v>4</v>
      </c>
      <c r="D316" s="9">
        <f>ROUND(C12*680,0)</f>
        <v>7140</v>
      </c>
      <c r="E316" s="6" t="s">
        <v>5</v>
      </c>
      <c r="F316" s="11">
        <f>ROUND(C12*880,0)</f>
        <v>9240</v>
      </c>
      <c r="G316" s="35">
        <v>50</v>
      </c>
      <c r="H316" s="17"/>
    </row>
    <row r="317" spans="2:8" s="1" customFormat="1" ht="13.5" customHeight="1" x14ac:dyDescent="0.15">
      <c r="B317" s="33"/>
      <c r="C317" s="7" t="s">
        <v>6</v>
      </c>
      <c r="D317" s="10">
        <v>7</v>
      </c>
      <c r="E317" s="8" t="s">
        <v>7</v>
      </c>
      <c r="F317" s="12">
        <f>ROUND(C12*530,0)</f>
        <v>5565</v>
      </c>
      <c r="G317" s="36"/>
      <c r="H317" s="17"/>
    </row>
    <row r="318" spans="2:8" s="1" customFormat="1" ht="14.25" thickBot="1" x14ac:dyDescent="0.2">
      <c r="B318" s="34"/>
      <c r="C318" s="18" t="s">
        <v>16</v>
      </c>
      <c r="D318" s="19" t="s">
        <v>43</v>
      </c>
      <c r="E318" s="20" t="s">
        <v>17</v>
      </c>
      <c r="F318" s="21" t="s">
        <v>36</v>
      </c>
      <c r="G318" s="22" t="s">
        <v>20</v>
      </c>
      <c r="H318" s="23" t="s">
        <v>37</v>
      </c>
    </row>
    <row r="319" spans="2:8" s="1" customFormat="1" x14ac:dyDescent="0.15">
      <c r="B319" s="13" t="s">
        <v>1</v>
      </c>
      <c r="C319" s="14" t="s">
        <v>0</v>
      </c>
      <c r="D319" s="29" t="s">
        <v>186</v>
      </c>
      <c r="E319" s="30"/>
      <c r="F319" s="31"/>
      <c r="G319" s="15" t="s">
        <v>57</v>
      </c>
      <c r="H319" s="16" t="s">
        <v>108</v>
      </c>
    </row>
    <row r="320" spans="2:8" s="1" customFormat="1" x14ac:dyDescent="0.15">
      <c r="B320" s="32">
        <v>200062</v>
      </c>
      <c r="C320" s="2" t="s">
        <v>2</v>
      </c>
      <c r="D320" s="9">
        <f>ROUND(C12*880,0)</f>
        <v>9240</v>
      </c>
      <c r="E320" s="3" t="s">
        <v>3</v>
      </c>
      <c r="F320" s="11">
        <f>ROUND(C12*980,0)</f>
        <v>10290</v>
      </c>
      <c r="G320" s="4" t="s">
        <v>8</v>
      </c>
      <c r="H320" s="17" t="s">
        <v>109</v>
      </c>
    </row>
    <row r="321" spans="2:8" s="1" customFormat="1" ht="13.5" customHeight="1" x14ac:dyDescent="0.15">
      <c r="B321" s="33"/>
      <c r="C321" s="5" t="s">
        <v>4</v>
      </c>
      <c r="D321" s="9">
        <f>ROUND(C12*680,0)</f>
        <v>7140</v>
      </c>
      <c r="E321" s="6" t="s">
        <v>5</v>
      </c>
      <c r="F321" s="11">
        <f>ROUND(C12*1936,0)</f>
        <v>20328</v>
      </c>
      <c r="G321" s="35">
        <v>100</v>
      </c>
      <c r="H321" s="17"/>
    </row>
    <row r="322" spans="2:8" s="1" customFormat="1" ht="13.5" customHeight="1" x14ac:dyDescent="0.15">
      <c r="B322" s="33"/>
      <c r="C322" s="7" t="s">
        <v>6</v>
      </c>
      <c r="D322" s="10">
        <v>4</v>
      </c>
      <c r="E322" s="8" t="s">
        <v>7</v>
      </c>
      <c r="F322" s="12">
        <f>ROUND(C12*370,0)</f>
        <v>3885</v>
      </c>
      <c r="G322" s="36"/>
      <c r="H322" s="17"/>
    </row>
    <row r="323" spans="2:8" s="1" customFormat="1" ht="14.25" thickBot="1" x14ac:dyDescent="0.2">
      <c r="B323" s="34"/>
      <c r="C323" s="18" t="s">
        <v>16</v>
      </c>
      <c r="D323" s="19" t="s">
        <v>39</v>
      </c>
      <c r="E323" s="20" t="s">
        <v>17</v>
      </c>
      <c r="F323" s="21" t="s">
        <v>49</v>
      </c>
      <c r="G323" s="22" t="s">
        <v>20</v>
      </c>
      <c r="H323" s="23" t="s">
        <v>37</v>
      </c>
    </row>
    <row r="324" spans="2:8" s="1" customFormat="1" x14ac:dyDescent="0.15">
      <c r="B324" s="13" t="s">
        <v>1</v>
      </c>
      <c r="C324" s="14" t="s">
        <v>0</v>
      </c>
      <c r="D324" s="29" t="s">
        <v>187</v>
      </c>
      <c r="E324" s="30"/>
      <c r="F324" s="31"/>
      <c r="G324" s="15" t="s">
        <v>57</v>
      </c>
      <c r="H324" s="16" t="s">
        <v>188</v>
      </c>
    </row>
    <row r="325" spans="2:8" s="1" customFormat="1" x14ac:dyDescent="0.15">
      <c r="B325" s="32">
        <v>200063</v>
      </c>
      <c r="C325" s="2" t="s">
        <v>2</v>
      </c>
      <c r="D325" s="9">
        <f>ROUND(C12*880,0)</f>
        <v>9240</v>
      </c>
      <c r="E325" s="3" t="s">
        <v>3</v>
      </c>
      <c r="F325" s="11">
        <f>ROUND(C12*476,0)</f>
        <v>4998</v>
      </c>
      <c r="G325" s="4" t="s">
        <v>8</v>
      </c>
      <c r="H325" s="17" t="s">
        <v>189</v>
      </c>
    </row>
    <row r="326" spans="2:8" s="1" customFormat="1" ht="13.5" customHeight="1" x14ac:dyDescent="0.15">
      <c r="B326" s="33"/>
      <c r="C326" s="5" t="s">
        <v>4</v>
      </c>
      <c r="D326" s="9">
        <f>ROUND(C12*680,0)</f>
        <v>7140</v>
      </c>
      <c r="E326" s="6" t="s">
        <v>5</v>
      </c>
      <c r="F326" s="11">
        <f>ROUND(C12*880,0)</f>
        <v>9240</v>
      </c>
      <c r="G326" s="35">
        <v>50</v>
      </c>
      <c r="H326" s="17"/>
    </row>
    <row r="327" spans="2:8" s="1" customFormat="1" ht="13.5" customHeight="1" x14ac:dyDescent="0.15">
      <c r="B327" s="33"/>
      <c r="C327" s="7" t="s">
        <v>6</v>
      </c>
      <c r="D327" s="10">
        <v>7</v>
      </c>
      <c r="E327" s="8" t="s">
        <v>7</v>
      </c>
      <c r="F327" s="12">
        <f>ROUND(C12*370,0)</f>
        <v>3885</v>
      </c>
      <c r="G327" s="36"/>
      <c r="H327" s="17"/>
    </row>
    <row r="328" spans="2:8" s="1" customFormat="1" ht="14.25" thickBot="1" x14ac:dyDescent="0.2">
      <c r="B328" s="34"/>
      <c r="C328" s="18" t="s">
        <v>16</v>
      </c>
      <c r="D328" s="19" t="s">
        <v>372</v>
      </c>
      <c r="E328" s="20" t="s">
        <v>17</v>
      </c>
      <c r="F328" s="21" t="s">
        <v>113</v>
      </c>
      <c r="G328" s="22" t="s">
        <v>20</v>
      </c>
      <c r="H328" s="23" t="s">
        <v>37</v>
      </c>
    </row>
    <row r="329" spans="2:8" s="1" customFormat="1" x14ac:dyDescent="0.15">
      <c r="B329" s="13" t="s">
        <v>1</v>
      </c>
      <c r="C329" s="14" t="s">
        <v>0</v>
      </c>
      <c r="D329" s="29" t="s">
        <v>190</v>
      </c>
      <c r="E329" s="30"/>
      <c r="F329" s="31"/>
      <c r="G329" s="15" t="s">
        <v>57</v>
      </c>
      <c r="H329" s="16" t="s">
        <v>55</v>
      </c>
    </row>
    <row r="330" spans="2:8" s="1" customFormat="1" x14ac:dyDescent="0.15">
      <c r="B330" s="32">
        <v>200064</v>
      </c>
      <c r="C330" s="2" t="s">
        <v>2</v>
      </c>
      <c r="D330" s="9">
        <f>ROUND(C12*880,0)</f>
        <v>9240</v>
      </c>
      <c r="E330" s="3" t="s">
        <v>3</v>
      </c>
      <c r="F330" s="11">
        <f>ROUND(C12*476,0)</f>
        <v>4998</v>
      </c>
      <c r="G330" s="4" t="s">
        <v>8</v>
      </c>
      <c r="H330" s="17" t="s">
        <v>30</v>
      </c>
    </row>
    <row r="331" spans="2:8" s="1" customFormat="1" ht="13.5" customHeight="1" x14ac:dyDescent="0.15">
      <c r="B331" s="33"/>
      <c r="C331" s="5" t="s">
        <v>4</v>
      </c>
      <c r="D331" s="9">
        <f>ROUND(C12*680,0)</f>
        <v>7140</v>
      </c>
      <c r="E331" s="6" t="s">
        <v>5</v>
      </c>
      <c r="F331" s="11">
        <f>ROUND(C12*880,0)</f>
        <v>9240</v>
      </c>
      <c r="G331" s="35">
        <v>100</v>
      </c>
      <c r="H331" s="17"/>
    </row>
    <row r="332" spans="2:8" s="1" customFormat="1" ht="13.5" customHeight="1" x14ac:dyDescent="0.15">
      <c r="B332" s="33"/>
      <c r="C332" s="7" t="s">
        <v>6</v>
      </c>
      <c r="D332" s="10">
        <v>7</v>
      </c>
      <c r="E332" s="8" t="s">
        <v>7</v>
      </c>
      <c r="F332" s="12">
        <f>ROUND(C12*370,0)</f>
        <v>3885</v>
      </c>
      <c r="G332" s="36"/>
      <c r="H332" s="17"/>
    </row>
    <row r="333" spans="2:8" s="1" customFormat="1" ht="14.25" thickBot="1" x14ac:dyDescent="0.2">
      <c r="B333" s="34"/>
      <c r="C333" s="18" t="s">
        <v>16</v>
      </c>
      <c r="D333" s="19" t="s">
        <v>414</v>
      </c>
      <c r="E333" s="20" t="s">
        <v>17</v>
      </c>
      <c r="F333" s="21" t="s">
        <v>396</v>
      </c>
      <c r="G333" s="22" t="s">
        <v>20</v>
      </c>
      <c r="H333" s="23" t="s">
        <v>37</v>
      </c>
    </row>
    <row r="334" spans="2:8" s="1" customFormat="1" x14ac:dyDescent="0.15">
      <c r="B334" s="13" t="s">
        <v>1</v>
      </c>
      <c r="C334" s="14" t="s">
        <v>0</v>
      </c>
      <c r="D334" s="29" t="s">
        <v>191</v>
      </c>
      <c r="E334" s="30"/>
      <c r="F334" s="31"/>
      <c r="G334" s="15" t="s">
        <v>57</v>
      </c>
      <c r="H334" s="16" t="s">
        <v>53</v>
      </c>
    </row>
    <row r="335" spans="2:8" s="1" customFormat="1" x14ac:dyDescent="0.15">
      <c r="B335" s="32">
        <v>200065</v>
      </c>
      <c r="C335" s="2" t="s">
        <v>2</v>
      </c>
      <c r="D335" s="9">
        <f>ROUND(C12*880,0)</f>
        <v>9240</v>
      </c>
      <c r="E335" s="3" t="s">
        <v>3</v>
      </c>
      <c r="F335" s="11">
        <f>ROUND(C12*476,0)</f>
        <v>4998</v>
      </c>
      <c r="G335" s="4" t="s">
        <v>8</v>
      </c>
      <c r="H335" s="17" t="s">
        <v>394</v>
      </c>
    </row>
    <row r="336" spans="2:8" s="1" customFormat="1" ht="13.5" customHeight="1" x14ac:dyDescent="0.15">
      <c r="B336" s="33"/>
      <c r="C336" s="5" t="s">
        <v>4</v>
      </c>
      <c r="D336" s="9">
        <f>ROUND(C12*680,0)</f>
        <v>7140</v>
      </c>
      <c r="E336" s="6" t="s">
        <v>5</v>
      </c>
      <c r="F336" s="11">
        <f>ROUND(C12*880,0)</f>
        <v>9240</v>
      </c>
      <c r="G336" s="35">
        <v>30</v>
      </c>
      <c r="H336" s="17"/>
    </row>
    <row r="337" spans="2:8" s="1" customFormat="1" ht="13.5" customHeight="1" x14ac:dyDescent="0.15">
      <c r="B337" s="33"/>
      <c r="C337" s="7" t="s">
        <v>6</v>
      </c>
      <c r="D337" s="10">
        <v>7</v>
      </c>
      <c r="E337" s="8" t="s">
        <v>7</v>
      </c>
      <c r="F337" s="12">
        <f>ROUND(C12*530,0)</f>
        <v>5565</v>
      </c>
      <c r="G337" s="36"/>
      <c r="H337" s="17"/>
    </row>
    <row r="338" spans="2:8" s="1" customFormat="1" ht="14.25" thickBot="1" x14ac:dyDescent="0.2">
      <c r="B338" s="34"/>
      <c r="C338" s="18" t="s">
        <v>16</v>
      </c>
      <c r="D338" s="19" t="s">
        <v>40</v>
      </c>
      <c r="E338" s="20" t="s">
        <v>17</v>
      </c>
      <c r="F338" s="21" t="s">
        <v>48</v>
      </c>
      <c r="G338" s="22" t="s">
        <v>20</v>
      </c>
      <c r="H338" s="23" t="s">
        <v>37</v>
      </c>
    </row>
    <row r="339" spans="2:8" s="1" customFormat="1" x14ac:dyDescent="0.15">
      <c r="B339" s="13" t="s">
        <v>1</v>
      </c>
      <c r="C339" s="14" t="s">
        <v>0</v>
      </c>
      <c r="D339" s="29" t="s">
        <v>192</v>
      </c>
      <c r="E339" s="30"/>
      <c r="F339" s="31"/>
      <c r="G339" s="15" t="s">
        <v>57</v>
      </c>
      <c r="H339" s="16" t="s">
        <v>80</v>
      </c>
    </row>
    <row r="340" spans="2:8" s="1" customFormat="1" x14ac:dyDescent="0.15">
      <c r="B340" s="32">
        <v>200066</v>
      </c>
      <c r="C340" s="2" t="s">
        <v>2</v>
      </c>
      <c r="D340" s="9">
        <f>ROUND(C12*880,0)</f>
        <v>9240</v>
      </c>
      <c r="E340" s="3" t="s">
        <v>3</v>
      </c>
      <c r="F340" s="11">
        <f>ROUND(C12*980,0)</f>
        <v>10290</v>
      </c>
      <c r="G340" s="4" t="s">
        <v>8</v>
      </c>
      <c r="H340" s="17" t="s">
        <v>81</v>
      </c>
    </row>
    <row r="341" spans="2:8" s="1" customFormat="1" ht="13.5" customHeight="1" x14ac:dyDescent="0.15">
      <c r="B341" s="33"/>
      <c r="C341" s="5" t="s">
        <v>4</v>
      </c>
      <c r="D341" s="9">
        <f>ROUND(C12*680,0)</f>
        <v>7140</v>
      </c>
      <c r="E341" s="6" t="s">
        <v>5</v>
      </c>
      <c r="F341" s="11">
        <f>ROUND(C12*1936,0)</f>
        <v>20328</v>
      </c>
      <c r="G341" s="35">
        <v>100</v>
      </c>
      <c r="H341" s="17"/>
    </row>
    <row r="342" spans="2:8" s="1" customFormat="1" ht="13.5" customHeight="1" x14ac:dyDescent="0.15">
      <c r="B342" s="33"/>
      <c r="C342" s="7" t="s">
        <v>6</v>
      </c>
      <c r="D342" s="10">
        <v>4</v>
      </c>
      <c r="E342" s="8" t="s">
        <v>7</v>
      </c>
      <c r="F342" s="12">
        <f>ROUND(C12*370,0)</f>
        <v>3885</v>
      </c>
      <c r="G342" s="36"/>
      <c r="H342" s="17"/>
    </row>
    <row r="343" spans="2:8" s="1" customFormat="1" ht="14.25" thickBot="1" x14ac:dyDescent="0.2">
      <c r="B343" s="34"/>
      <c r="C343" s="18" t="s">
        <v>16</v>
      </c>
      <c r="D343" s="19" t="s">
        <v>415</v>
      </c>
      <c r="E343" s="20" t="s">
        <v>17</v>
      </c>
      <c r="F343" s="21" t="s">
        <v>56</v>
      </c>
      <c r="G343" s="22" t="s">
        <v>20</v>
      </c>
      <c r="H343" s="23" t="s">
        <v>37</v>
      </c>
    </row>
    <row r="344" spans="2:8" s="1" customFormat="1" x14ac:dyDescent="0.15">
      <c r="B344" s="13" t="s">
        <v>1</v>
      </c>
      <c r="C344" s="14" t="s">
        <v>0</v>
      </c>
      <c r="D344" s="29" t="s">
        <v>193</v>
      </c>
      <c r="E344" s="30"/>
      <c r="F344" s="31"/>
      <c r="G344" s="15" t="s">
        <v>57</v>
      </c>
      <c r="H344" s="16" t="s">
        <v>194</v>
      </c>
    </row>
    <row r="345" spans="2:8" s="1" customFormat="1" x14ac:dyDescent="0.15">
      <c r="B345" s="32">
        <v>200067</v>
      </c>
      <c r="C345" s="2" t="s">
        <v>2</v>
      </c>
      <c r="D345" s="9">
        <f>ROUND(C12*880,0)</f>
        <v>9240</v>
      </c>
      <c r="E345" s="3" t="s">
        <v>3</v>
      </c>
      <c r="F345" s="11">
        <f>ROUND(C12*476,0)</f>
        <v>4998</v>
      </c>
      <c r="G345" s="4" t="s">
        <v>8</v>
      </c>
      <c r="H345" s="17" t="s">
        <v>195</v>
      </c>
    </row>
    <row r="346" spans="2:8" s="1" customFormat="1" ht="13.5" customHeight="1" x14ac:dyDescent="0.15">
      <c r="B346" s="33"/>
      <c r="C346" s="5" t="s">
        <v>4</v>
      </c>
      <c r="D346" s="9">
        <f>ROUND(C12*680,0)</f>
        <v>7140</v>
      </c>
      <c r="E346" s="6" t="s">
        <v>5</v>
      </c>
      <c r="F346" s="11">
        <f>ROUND(C12*880,0)</f>
        <v>9240</v>
      </c>
      <c r="G346" s="35">
        <v>50</v>
      </c>
      <c r="H346" s="17"/>
    </row>
    <row r="347" spans="2:8" s="1" customFormat="1" ht="13.5" customHeight="1" x14ac:dyDescent="0.15">
      <c r="B347" s="33"/>
      <c r="C347" s="7" t="s">
        <v>6</v>
      </c>
      <c r="D347" s="10">
        <v>7</v>
      </c>
      <c r="E347" s="8" t="s">
        <v>7</v>
      </c>
      <c r="F347" s="12">
        <f>ROUND(C12*370,0)</f>
        <v>3885</v>
      </c>
      <c r="G347" s="36"/>
      <c r="H347" s="17"/>
    </row>
    <row r="348" spans="2:8" s="1" customFormat="1" ht="14.25" thickBot="1" x14ac:dyDescent="0.2">
      <c r="B348" s="34"/>
      <c r="C348" s="18" t="s">
        <v>16</v>
      </c>
      <c r="D348" s="19" t="s">
        <v>416</v>
      </c>
      <c r="E348" s="20" t="s">
        <v>17</v>
      </c>
      <c r="F348" s="21" t="s">
        <v>85</v>
      </c>
      <c r="G348" s="22" t="s">
        <v>20</v>
      </c>
      <c r="H348" s="23" t="s">
        <v>37</v>
      </c>
    </row>
    <row r="349" spans="2:8" s="1" customFormat="1" x14ac:dyDescent="0.15">
      <c r="B349" s="13" t="s">
        <v>1</v>
      </c>
      <c r="C349" s="14" t="s">
        <v>0</v>
      </c>
      <c r="D349" s="29" t="s">
        <v>196</v>
      </c>
      <c r="E349" s="30"/>
      <c r="F349" s="31"/>
      <c r="G349" s="15" t="s">
        <v>57</v>
      </c>
      <c r="H349" s="16" t="s">
        <v>116</v>
      </c>
    </row>
    <row r="350" spans="2:8" s="1" customFormat="1" x14ac:dyDescent="0.15">
      <c r="B350" s="32">
        <v>200068</v>
      </c>
      <c r="C350" s="2" t="s">
        <v>2</v>
      </c>
      <c r="D350" s="9">
        <f>ROUND(C12*880,0)</f>
        <v>9240</v>
      </c>
      <c r="E350" s="3" t="s">
        <v>3</v>
      </c>
      <c r="F350" s="11">
        <f>ROUND(C12*476,0)</f>
        <v>4998</v>
      </c>
      <c r="G350" s="4" t="s">
        <v>8</v>
      </c>
      <c r="H350" s="17" t="s">
        <v>117</v>
      </c>
    </row>
    <row r="351" spans="2:8" s="1" customFormat="1" ht="13.5" customHeight="1" x14ac:dyDescent="0.15">
      <c r="B351" s="33"/>
      <c r="C351" s="5" t="s">
        <v>4</v>
      </c>
      <c r="D351" s="9">
        <f>ROUND(C12*680,0)</f>
        <v>7140</v>
      </c>
      <c r="E351" s="6" t="s">
        <v>5</v>
      </c>
      <c r="F351" s="11">
        <f>ROUND(C12*880,0)</f>
        <v>9240</v>
      </c>
      <c r="G351" s="35">
        <v>100</v>
      </c>
      <c r="H351" s="17"/>
    </row>
    <row r="352" spans="2:8" s="1" customFormat="1" ht="13.5" customHeight="1" x14ac:dyDescent="0.15">
      <c r="B352" s="33"/>
      <c r="C352" s="7" t="s">
        <v>6</v>
      </c>
      <c r="D352" s="10">
        <v>7</v>
      </c>
      <c r="E352" s="8" t="s">
        <v>7</v>
      </c>
      <c r="F352" s="12">
        <f>ROUND(C12*530,0)</f>
        <v>5565</v>
      </c>
      <c r="G352" s="36"/>
      <c r="H352" s="17"/>
    </row>
    <row r="353" spans="2:8" s="1" customFormat="1" ht="14.25" thickBot="1" x14ac:dyDescent="0.2">
      <c r="B353" s="34"/>
      <c r="C353" s="18" t="s">
        <v>16</v>
      </c>
      <c r="D353" s="19" t="s">
        <v>382</v>
      </c>
      <c r="E353" s="20" t="s">
        <v>17</v>
      </c>
      <c r="F353" s="21" t="s">
        <v>85</v>
      </c>
      <c r="G353" s="22" t="s">
        <v>20</v>
      </c>
      <c r="H353" s="23" t="s">
        <v>37</v>
      </c>
    </row>
    <row r="354" spans="2:8" s="1" customFormat="1" x14ac:dyDescent="0.15">
      <c r="B354" s="13" t="s">
        <v>1</v>
      </c>
      <c r="C354" s="14" t="s">
        <v>0</v>
      </c>
      <c r="D354" s="29" t="s">
        <v>197</v>
      </c>
      <c r="E354" s="30"/>
      <c r="F354" s="31"/>
      <c r="G354" s="15" t="s">
        <v>57</v>
      </c>
      <c r="H354" s="16" t="s">
        <v>88</v>
      </c>
    </row>
    <row r="355" spans="2:8" s="1" customFormat="1" x14ac:dyDescent="0.15">
      <c r="B355" s="32">
        <v>200069</v>
      </c>
      <c r="C355" s="2" t="s">
        <v>2</v>
      </c>
      <c r="D355" s="9">
        <f>ROUND(C12*880,0)</f>
        <v>9240</v>
      </c>
      <c r="E355" s="3" t="s">
        <v>3</v>
      </c>
      <c r="F355" s="11">
        <f>ROUND(C12*476,0)</f>
        <v>4998</v>
      </c>
      <c r="G355" s="4" t="s">
        <v>8</v>
      </c>
      <c r="H355" s="17" t="s">
        <v>89</v>
      </c>
    </row>
    <row r="356" spans="2:8" s="1" customFormat="1" ht="13.5" customHeight="1" x14ac:dyDescent="0.15">
      <c r="B356" s="33"/>
      <c r="C356" s="5" t="s">
        <v>4</v>
      </c>
      <c r="D356" s="9">
        <f>ROUND(C12*680,0)</f>
        <v>7140</v>
      </c>
      <c r="E356" s="6" t="s">
        <v>5</v>
      </c>
      <c r="F356" s="11">
        <f>ROUND(C12*880,0)</f>
        <v>9240</v>
      </c>
      <c r="G356" s="35">
        <v>50</v>
      </c>
      <c r="H356" s="17"/>
    </row>
    <row r="357" spans="2:8" s="1" customFormat="1" ht="13.5" customHeight="1" x14ac:dyDescent="0.15">
      <c r="B357" s="33"/>
      <c r="C357" s="7" t="s">
        <v>6</v>
      </c>
      <c r="D357" s="10">
        <v>7</v>
      </c>
      <c r="E357" s="8" t="s">
        <v>7</v>
      </c>
      <c r="F357" s="12">
        <f>ROUND(C12*530,0)</f>
        <v>5565</v>
      </c>
      <c r="G357" s="36"/>
      <c r="H357" s="17"/>
    </row>
    <row r="358" spans="2:8" s="1" customFormat="1" ht="14.25" thickBot="1" x14ac:dyDescent="0.2">
      <c r="B358" s="34"/>
      <c r="C358" s="18" t="s">
        <v>16</v>
      </c>
      <c r="D358" s="19" t="s">
        <v>372</v>
      </c>
      <c r="E358" s="20" t="s">
        <v>17</v>
      </c>
      <c r="F358" s="21" t="s">
        <v>113</v>
      </c>
      <c r="G358" s="22" t="s">
        <v>20</v>
      </c>
      <c r="H358" s="23" t="s">
        <v>72</v>
      </c>
    </row>
    <row r="359" spans="2:8" s="1" customFormat="1" x14ac:dyDescent="0.15">
      <c r="B359" s="13" t="s">
        <v>1</v>
      </c>
      <c r="C359" s="14" t="s">
        <v>0</v>
      </c>
      <c r="D359" s="29" t="s">
        <v>198</v>
      </c>
      <c r="E359" s="30"/>
      <c r="F359" s="31"/>
      <c r="G359" s="15" t="s">
        <v>57</v>
      </c>
      <c r="H359" s="16" t="s">
        <v>128</v>
      </c>
    </row>
    <row r="360" spans="2:8" s="1" customFormat="1" x14ac:dyDescent="0.15">
      <c r="B360" s="32">
        <v>200070</v>
      </c>
      <c r="C360" s="2" t="s">
        <v>2</v>
      </c>
      <c r="D360" s="9">
        <f>ROUND(C12*880,0)</f>
        <v>9240</v>
      </c>
      <c r="E360" s="3" t="s">
        <v>3</v>
      </c>
      <c r="F360" s="11">
        <f>ROUND(C12*980,0)</f>
        <v>10290</v>
      </c>
      <c r="G360" s="4" t="s">
        <v>8</v>
      </c>
      <c r="H360" s="17" t="s">
        <v>129</v>
      </c>
    </row>
    <row r="361" spans="2:8" s="1" customFormat="1" ht="13.5" customHeight="1" x14ac:dyDescent="0.15">
      <c r="B361" s="33"/>
      <c r="C361" s="5" t="s">
        <v>4</v>
      </c>
      <c r="D361" s="9">
        <f>ROUND(C12*680,0)</f>
        <v>7140</v>
      </c>
      <c r="E361" s="6" t="s">
        <v>5</v>
      </c>
      <c r="F361" s="11">
        <f>ROUND(C12*1936,0)</f>
        <v>20328</v>
      </c>
      <c r="G361" s="35">
        <v>100</v>
      </c>
      <c r="H361" s="17"/>
    </row>
    <row r="362" spans="2:8" s="1" customFormat="1" ht="13.5" customHeight="1" x14ac:dyDescent="0.15">
      <c r="B362" s="33"/>
      <c r="C362" s="7" t="s">
        <v>6</v>
      </c>
      <c r="D362" s="10">
        <v>4</v>
      </c>
      <c r="E362" s="8" t="s">
        <v>7</v>
      </c>
      <c r="F362" s="12">
        <f>ROUND(C12*480,0)</f>
        <v>5040</v>
      </c>
      <c r="G362" s="36"/>
      <c r="H362" s="17"/>
    </row>
    <row r="363" spans="2:8" s="1" customFormat="1" ht="14.25" thickBot="1" x14ac:dyDescent="0.2">
      <c r="B363" s="34"/>
      <c r="C363" s="18" t="s">
        <v>16</v>
      </c>
      <c r="D363" s="19" t="s">
        <v>417</v>
      </c>
      <c r="E363" s="20" t="s">
        <v>17</v>
      </c>
      <c r="F363" s="21" t="s">
        <v>396</v>
      </c>
      <c r="G363" s="22" t="s">
        <v>20</v>
      </c>
      <c r="H363" s="23" t="s">
        <v>37</v>
      </c>
    </row>
    <row r="364" spans="2:8" s="1" customFormat="1" x14ac:dyDescent="0.15">
      <c r="B364" s="13" t="s">
        <v>1</v>
      </c>
      <c r="C364" s="14" t="s">
        <v>0</v>
      </c>
      <c r="D364" s="29" t="s">
        <v>199</v>
      </c>
      <c r="E364" s="30"/>
      <c r="F364" s="31"/>
      <c r="G364" s="15" t="s">
        <v>57</v>
      </c>
      <c r="H364" s="16" t="s">
        <v>95</v>
      </c>
    </row>
    <row r="365" spans="2:8" s="1" customFormat="1" x14ac:dyDescent="0.15">
      <c r="B365" s="32">
        <v>200071</v>
      </c>
      <c r="C365" s="2" t="s">
        <v>2</v>
      </c>
      <c r="D365" s="9">
        <f>ROUND(C12*880,0)</f>
        <v>9240</v>
      </c>
      <c r="E365" s="3" t="s">
        <v>3</v>
      </c>
      <c r="F365" s="11">
        <f>ROUND(C12*476,0)</f>
        <v>4998</v>
      </c>
      <c r="G365" s="4" t="s">
        <v>8</v>
      </c>
      <c r="H365" s="17" t="s">
        <v>96</v>
      </c>
    </row>
    <row r="366" spans="2:8" s="1" customFormat="1" ht="13.5" customHeight="1" x14ac:dyDescent="0.15">
      <c r="B366" s="33"/>
      <c r="C366" s="5" t="s">
        <v>4</v>
      </c>
      <c r="D366" s="9">
        <f>ROUND(C12*680,0)</f>
        <v>7140</v>
      </c>
      <c r="E366" s="6" t="s">
        <v>5</v>
      </c>
      <c r="F366" s="11">
        <f>ROUND(C12*880,0)</f>
        <v>9240</v>
      </c>
      <c r="G366" s="35">
        <v>50</v>
      </c>
      <c r="H366" s="17"/>
    </row>
    <row r="367" spans="2:8" s="1" customFormat="1" ht="13.5" customHeight="1" x14ac:dyDescent="0.15">
      <c r="B367" s="33"/>
      <c r="C367" s="7" t="s">
        <v>6</v>
      </c>
      <c r="D367" s="10">
        <v>7</v>
      </c>
      <c r="E367" s="8" t="s">
        <v>7</v>
      </c>
      <c r="F367" s="12">
        <f>ROUND(C12*530,0)</f>
        <v>5565</v>
      </c>
      <c r="G367" s="36"/>
      <c r="H367" s="17"/>
    </row>
    <row r="368" spans="2:8" s="1" customFormat="1" ht="14.25" thickBot="1" x14ac:dyDescent="0.2">
      <c r="B368" s="34"/>
      <c r="C368" s="18" t="s">
        <v>16</v>
      </c>
      <c r="D368" s="19" t="s">
        <v>417</v>
      </c>
      <c r="E368" s="20" t="s">
        <v>17</v>
      </c>
      <c r="F368" s="21" t="s">
        <v>418</v>
      </c>
      <c r="G368" s="22" t="s">
        <v>20</v>
      </c>
      <c r="H368" s="23" t="s">
        <v>153</v>
      </c>
    </row>
    <row r="369" spans="2:8" s="1" customFormat="1" x14ac:dyDescent="0.15">
      <c r="B369" s="13" t="s">
        <v>1</v>
      </c>
      <c r="C369" s="14" t="s">
        <v>0</v>
      </c>
      <c r="D369" s="29" t="s">
        <v>200</v>
      </c>
      <c r="E369" s="30"/>
      <c r="F369" s="31"/>
      <c r="G369" s="15" t="s">
        <v>57</v>
      </c>
      <c r="H369" s="16" t="s">
        <v>35</v>
      </c>
    </row>
    <row r="370" spans="2:8" s="1" customFormat="1" x14ac:dyDescent="0.15">
      <c r="B370" s="32">
        <v>200072</v>
      </c>
      <c r="C370" s="2" t="s">
        <v>2</v>
      </c>
      <c r="D370" s="9">
        <f>ROUND(C12*880,0)</f>
        <v>9240</v>
      </c>
      <c r="E370" s="3" t="s">
        <v>3</v>
      </c>
      <c r="F370" s="11">
        <f>ROUND(C12*476,0)</f>
        <v>4998</v>
      </c>
      <c r="G370" s="4" t="s">
        <v>8</v>
      </c>
      <c r="H370" s="17" t="s">
        <v>23</v>
      </c>
    </row>
    <row r="371" spans="2:8" s="1" customFormat="1" ht="13.5" customHeight="1" x14ac:dyDescent="0.15">
      <c r="B371" s="33"/>
      <c r="C371" s="5" t="s">
        <v>4</v>
      </c>
      <c r="D371" s="9">
        <f>ROUND(C12*680,0)</f>
        <v>7140</v>
      </c>
      <c r="E371" s="6" t="s">
        <v>5</v>
      </c>
      <c r="F371" s="11">
        <f>ROUND(C12*880,0)</f>
        <v>9240</v>
      </c>
      <c r="G371" s="35">
        <v>100</v>
      </c>
      <c r="H371" s="17"/>
    </row>
    <row r="372" spans="2:8" s="1" customFormat="1" ht="13.5" customHeight="1" x14ac:dyDescent="0.15">
      <c r="B372" s="33"/>
      <c r="C372" s="7" t="s">
        <v>6</v>
      </c>
      <c r="D372" s="10">
        <v>7</v>
      </c>
      <c r="E372" s="8" t="s">
        <v>7</v>
      </c>
      <c r="F372" s="12">
        <f>ROUND(C12*370,0)</f>
        <v>3885</v>
      </c>
      <c r="G372" s="36"/>
      <c r="H372" s="17"/>
    </row>
    <row r="373" spans="2:8" s="1" customFormat="1" ht="14.25" thickBot="1" x14ac:dyDescent="0.2">
      <c r="B373" s="34"/>
      <c r="C373" s="18" t="s">
        <v>16</v>
      </c>
      <c r="D373" s="19" t="s">
        <v>389</v>
      </c>
      <c r="E373" s="20" t="s">
        <v>17</v>
      </c>
      <c r="F373" s="21" t="s">
        <v>418</v>
      </c>
      <c r="G373" s="22" t="s">
        <v>20</v>
      </c>
      <c r="H373" s="23" t="s">
        <v>37</v>
      </c>
    </row>
    <row r="374" spans="2:8" s="1" customFormat="1" x14ac:dyDescent="0.15">
      <c r="B374" s="13" t="s">
        <v>1</v>
      </c>
      <c r="C374" s="14" t="s">
        <v>0</v>
      </c>
      <c r="D374" s="29" t="s">
        <v>201</v>
      </c>
      <c r="E374" s="30"/>
      <c r="F374" s="31"/>
      <c r="G374" s="15" t="s">
        <v>57</v>
      </c>
      <c r="H374" s="16" t="s">
        <v>41</v>
      </c>
    </row>
    <row r="375" spans="2:8" s="1" customFormat="1" x14ac:dyDescent="0.15">
      <c r="B375" s="32">
        <v>200073</v>
      </c>
      <c r="C375" s="2" t="s">
        <v>2</v>
      </c>
      <c r="D375" s="9">
        <f>ROUND(C12*880,0)</f>
        <v>9240</v>
      </c>
      <c r="E375" s="3" t="s">
        <v>3</v>
      </c>
      <c r="F375" s="11">
        <f>ROUND(C12*980,0)</f>
        <v>10290</v>
      </c>
      <c r="G375" s="4" t="s">
        <v>8</v>
      </c>
      <c r="H375" s="17" t="s">
        <v>25</v>
      </c>
    </row>
    <row r="376" spans="2:8" s="1" customFormat="1" ht="13.5" customHeight="1" x14ac:dyDescent="0.15">
      <c r="B376" s="33"/>
      <c r="C376" s="5" t="s">
        <v>4</v>
      </c>
      <c r="D376" s="9">
        <f>ROUND(C12*680,0)</f>
        <v>7140</v>
      </c>
      <c r="E376" s="6" t="s">
        <v>5</v>
      </c>
      <c r="F376" s="11">
        <f>ROUND(C12*1936,0)</f>
        <v>20328</v>
      </c>
      <c r="G376" s="35">
        <v>100</v>
      </c>
      <c r="H376" s="17"/>
    </row>
    <row r="377" spans="2:8" s="1" customFormat="1" ht="13.5" customHeight="1" x14ac:dyDescent="0.15">
      <c r="B377" s="33"/>
      <c r="C377" s="7" t="s">
        <v>6</v>
      </c>
      <c r="D377" s="10">
        <v>4</v>
      </c>
      <c r="E377" s="8" t="s">
        <v>7</v>
      </c>
      <c r="F377" s="12">
        <f>ROUND(C12*370,0)</f>
        <v>3885</v>
      </c>
      <c r="G377" s="36"/>
      <c r="H377" s="17"/>
    </row>
    <row r="378" spans="2:8" s="1" customFormat="1" ht="14.25" thickBot="1" x14ac:dyDescent="0.2">
      <c r="B378" s="34"/>
      <c r="C378" s="18" t="s">
        <v>16</v>
      </c>
      <c r="D378" s="19" t="s">
        <v>39</v>
      </c>
      <c r="E378" s="20" t="s">
        <v>17</v>
      </c>
      <c r="F378" s="21" t="s">
        <v>49</v>
      </c>
      <c r="G378" s="22" t="s">
        <v>20</v>
      </c>
      <c r="H378" s="23" t="s">
        <v>37</v>
      </c>
    </row>
    <row r="379" spans="2:8" s="1" customFormat="1" x14ac:dyDescent="0.15">
      <c r="B379" s="13" t="s">
        <v>1</v>
      </c>
      <c r="C379" s="14" t="s">
        <v>0</v>
      </c>
      <c r="D379" s="29" t="s">
        <v>202</v>
      </c>
      <c r="E379" s="30"/>
      <c r="F379" s="31"/>
      <c r="G379" s="15" t="s">
        <v>57</v>
      </c>
      <c r="H379" s="16" t="s">
        <v>131</v>
      </c>
    </row>
    <row r="380" spans="2:8" s="1" customFormat="1" x14ac:dyDescent="0.15">
      <c r="B380" s="32">
        <v>200074</v>
      </c>
      <c r="C380" s="2" t="s">
        <v>2</v>
      </c>
      <c r="D380" s="9">
        <f>ROUND(C12*880,0)</f>
        <v>9240</v>
      </c>
      <c r="E380" s="3" t="s">
        <v>3</v>
      </c>
      <c r="F380" s="11">
        <f>ROUND(C12*476,0)</f>
        <v>4998</v>
      </c>
      <c r="G380" s="4" t="s">
        <v>8</v>
      </c>
      <c r="H380" s="17" t="s">
        <v>132</v>
      </c>
    </row>
    <row r="381" spans="2:8" s="1" customFormat="1" ht="13.5" customHeight="1" x14ac:dyDescent="0.15">
      <c r="B381" s="33"/>
      <c r="C381" s="5" t="s">
        <v>4</v>
      </c>
      <c r="D381" s="9">
        <f>ROUND(C12*680,0)</f>
        <v>7140</v>
      </c>
      <c r="E381" s="6" t="s">
        <v>5</v>
      </c>
      <c r="F381" s="11">
        <f>ROUND(C12*880,0)</f>
        <v>9240</v>
      </c>
      <c r="G381" s="35">
        <v>100</v>
      </c>
      <c r="H381" s="17"/>
    </row>
    <row r="382" spans="2:8" s="1" customFormat="1" ht="13.5" customHeight="1" x14ac:dyDescent="0.15">
      <c r="B382" s="33"/>
      <c r="C382" s="7" t="s">
        <v>6</v>
      </c>
      <c r="D382" s="10">
        <v>7</v>
      </c>
      <c r="E382" s="8" t="s">
        <v>7</v>
      </c>
      <c r="F382" s="12">
        <f>ROUND(C12*530,0)</f>
        <v>5565</v>
      </c>
      <c r="G382" s="36"/>
      <c r="H382" s="17"/>
    </row>
    <row r="383" spans="2:8" s="1" customFormat="1" ht="14.25" thickBot="1" x14ac:dyDescent="0.2">
      <c r="B383" s="34"/>
      <c r="C383" s="18" t="s">
        <v>16</v>
      </c>
      <c r="D383" s="19" t="s">
        <v>40</v>
      </c>
      <c r="E383" s="20" t="s">
        <v>17</v>
      </c>
      <c r="F383" s="21" t="s">
        <v>48</v>
      </c>
      <c r="G383" s="22" t="s">
        <v>20</v>
      </c>
      <c r="H383" s="23" t="s">
        <v>37</v>
      </c>
    </row>
    <row r="384" spans="2:8" s="1" customFormat="1" x14ac:dyDescent="0.15">
      <c r="B384" s="13" t="s">
        <v>1</v>
      </c>
      <c r="C384" s="14" t="s">
        <v>0</v>
      </c>
      <c r="D384" s="29" t="s">
        <v>203</v>
      </c>
      <c r="E384" s="30"/>
      <c r="F384" s="31"/>
      <c r="G384" s="15" t="s">
        <v>57</v>
      </c>
      <c r="H384" s="16" t="s">
        <v>204</v>
      </c>
    </row>
    <row r="385" spans="2:8" s="1" customFormat="1" x14ac:dyDescent="0.15">
      <c r="B385" s="32">
        <v>200075</v>
      </c>
      <c r="C385" s="2" t="s">
        <v>2</v>
      </c>
      <c r="D385" s="9">
        <f>ROUND(C12*880,0)</f>
        <v>9240</v>
      </c>
      <c r="E385" s="3" t="s">
        <v>3</v>
      </c>
      <c r="F385" s="11">
        <f>ROUND(C12*476,0)</f>
        <v>4998</v>
      </c>
      <c r="G385" s="4" t="s">
        <v>8</v>
      </c>
      <c r="H385" s="17" t="s">
        <v>205</v>
      </c>
    </row>
    <row r="386" spans="2:8" s="1" customFormat="1" ht="13.5" customHeight="1" x14ac:dyDescent="0.15">
      <c r="B386" s="33"/>
      <c r="C386" s="5" t="s">
        <v>4</v>
      </c>
      <c r="D386" s="9">
        <f>ROUND(C12*680,0)</f>
        <v>7140</v>
      </c>
      <c r="E386" s="6" t="s">
        <v>5</v>
      </c>
      <c r="F386" s="11">
        <f>ROUND(C12*880,0)</f>
        <v>9240</v>
      </c>
      <c r="G386" s="35">
        <v>100</v>
      </c>
      <c r="H386" s="17"/>
    </row>
    <row r="387" spans="2:8" s="1" customFormat="1" ht="13.5" customHeight="1" x14ac:dyDescent="0.15">
      <c r="B387" s="33"/>
      <c r="C387" s="7" t="s">
        <v>6</v>
      </c>
      <c r="D387" s="10">
        <v>7</v>
      </c>
      <c r="E387" s="8" t="s">
        <v>7</v>
      </c>
      <c r="F387" s="12">
        <f>ROUND(C12*530,0)</f>
        <v>5565</v>
      </c>
      <c r="G387" s="36"/>
      <c r="H387" s="17"/>
    </row>
    <row r="388" spans="2:8" s="1" customFormat="1" ht="14.25" thickBot="1" x14ac:dyDescent="0.2">
      <c r="B388" s="34"/>
      <c r="C388" s="18" t="s">
        <v>16</v>
      </c>
      <c r="D388" s="19" t="s">
        <v>390</v>
      </c>
      <c r="E388" s="20" t="s">
        <v>17</v>
      </c>
      <c r="F388" s="21" t="s">
        <v>32</v>
      </c>
      <c r="G388" s="22" t="s">
        <v>20</v>
      </c>
      <c r="H388" s="23" t="s">
        <v>37</v>
      </c>
    </row>
    <row r="389" spans="2:8" s="1" customFormat="1" x14ac:dyDescent="0.15">
      <c r="B389" s="13" t="s">
        <v>1</v>
      </c>
      <c r="C389" s="14" t="s">
        <v>0</v>
      </c>
      <c r="D389" s="29" t="s">
        <v>206</v>
      </c>
      <c r="E389" s="30"/>
      <c r="F389" s="31"/>
      <c r="G389" s="15" t="s">
        <v>57</v>
      </c>
      <c r="H389" s="16" t="s">
        <v>146</v>
      </c>
    </row>
    <row r="390" spans="2:8" s="1" customFormat="1" x14ac:dyDescent="0.15">
      <c r="B390" s="32">
        <v>200076</v>
      </c>
      <c r="C390" s="2" t="s">
        <v>2</v>
      </c>
      <c r="D390" s="9">
        <f>ROUND(C12*880,0)</f>
        <v>9240</v>
      </c>
      <c r="E390" s="3" t="s">
        <v>3</v>
      </c>
      <c r="F390" s="11">
        <f>ROUND(C12*980,0)</f>
        <v>10290</v>
      </c>
      <c r="G390" s="4" t="s">
        <v>8</v>
      </c>
      <c r="H390" s="17" t="s">
        <v>147</v>
      </c>
    </row>
    <row r="391" spans="2:8" s="1" customFormat="1" ht="13.5" customHeight="1" x14ac:dyDescent="0.15">
      <c r="B391" s="33"/>
      <c r="C391" s="5" t="s">
        <v>4</v>
      </c>
      <c r="D391" s="9">
        <f>ROUND(C12*680,0)</f>
        <v>7140</v>
      </c>
      <c r="E391" s="6" t="s">
        <v>5</v>
      </c>
      <c r="F391" s="11">
        <f>ROUND(C12*1936,0)</f>
        <v>20328</v>
      </c>
      <c r="G391" s="35">
        <v>100</v>
      </c>
      <c r="H391" s="17"/>
    </row>
    <row r="392" spans="2:8" s="1" customFormat="1" ht="13.5" customHeight="1" x14ac:dyDescent="0.15">
      <c r="B392" s="33"/>
      <c r="C392" s="7" t="s">
        <v>6</v>
      </c>
      <c r="D392" s="10">
        <v>4</v>
      </c>
      <c r="E392" s="8" t="s">
        <v>7</v>
      </c>
      <c r="F392" s="12">
        <f>ROUND(C12*530,0)</f>
        <v>5565</v>
      </c>
      <c r="G392" s="36"/>
      <c r="H392" s="17"/>
    </row>
    <row r="393" spans="2:8" s="1" customFormat="1" ht="14.25" thickBot="1" x14ac:dyDescent="0.2">
      <c r="B393" s="34"/>
      <c r="C393" s="18" t="s">
        <v>16</v>
      </c>
      <c r="D393" s="19" t="s">
        <v>42</v>
      </c>
      <c r="E393" s="20" t="s">
        <v>17</v>
      </c>
      <c r="F393" s="21" t="s">
        <v>113</v>
      </c>
      <c r="G393" s="22" t="s">
        <v>20</v>
      </c>
      <c r="H393" s="23" t="s">
        <v>37</v>
      </c>
    </row>
    <row r="394" spans="2:8" s="1" customFormat="1" x14ac:dyDescent="0.15">
      <c r="B394" s="13" t="s">
        <v>1</v>
      </c>
      <c r="C394" s="14" t="s">
        <v>0</v>
      </c>
      <c r="D394" s="29" t="s">
        <v>207</v>
      </c>
      <c r="E394" s="30"/>
      <c r="F394" s="31"/>
      <c r="G394" s="15" t="s">
        <v>57</v>
      </c>
      <c r="H394" s="16" t="s">
        <v>208</v>
      </c>
    </row>
    <row r="395" spans="2:8" s="1" customFormat="1" x14ac:dyDescent="0.15">
      <c r="B395" s="32">
        <v>200077</v>
      </c>
      <c r="C395" s="2" t="s">
        <v>2</v>
      </c>
      <c r="D395" s="9">
        <f>ROUND(C12*880,0)</f>
        <v>9240</v>
      </c>
      <c r="E395" s="3" t="s">
        <v>3</v>
      </c>
      <c r="F395" s="11">
        <f>ROUND(C12*476,0)</f>
        <v>4998</v>
      </c>
      <c r="G395" s="4" t="s">
        <v>8</v>
      </c>
      <c r="H395" s="17" t="s">
        <v>209</v>
      </c>
    </row>
    <row r="396" spans="2:8" s="1" customFormat="1" ht="13.5" customHeight="1" x14ac:dyDescent="0.15">
      <c r="B396" s="33"/>
      <c r="C396" s="5" t="s">
        <v>4</v>
      </c>
      <c r="D396" s="9">
        <f>ROUND(C12*680,0)</f>
        <v>7140</v>
      </c>
      <c r="E396" s="6" t="s">
        <v>5</v>
      </c>
      <c r="F396" s="11">
        <f>ROUND(C12*880,0)</f>
        <v>9240</v>
      </c>
      <c r="G396" s="35">
        <v>100</v>
      </c>
      <c r="H396" s="17"/>
    </row>
    <row r="397" spans="2:8" s="1" customFormat="1" ht="13.5" customHeight="1" x14ac:dyDescent="0.15">
      <c r="B397" s="33"/>
      <c r="C397" s="7" t="s">
        <v>6</v>
      </c>
      <c r="D397" s="10">
        <v>7</v>
      </c>
      <c r="E397" s="8" t="s">
        <v>7</v>
      </c>
      <c r="F397" s="12">
        <f>ROUND(C12*530,0)</f>
        <v>5565</v>
      </c>
      <c r="G397" s="36"/>
      <c r="H397" s="17"/>
    </row>
    <row r="398" spans="2:8" s="1" customFormat="1" ht="14.25" thickBot="1" x14ac:dyDescent="0.2">
      <c r="B398" s="34"/>
      <c r="C398" s="18" t="s">
        <v>16</v>
      </c>
      <c r="D398" s="19" t="s">
        <v>402</v>
      </c>
      <c r="E398" s="20" t="s">
        <v>17</v>
      </c>
      <c r="F398" s="21" t="s">
        <v>85</v>
      </c>
      <c r="G398" s="22" t="s">
        <v>20</v>
      </c>
      <c r="H398" s="23" t="s">
        <v>37</v>
      </c>
    </row>
    <row r="399" spans="2:8" s="1" customFormat="1" x14ac:dyDescent="0.15">
      <c r="B399" s="13" t="s">
        <v>1</v>
      </c>
      <c r="C399" s="14" t="s">
        <v>0</v>
      </c>
      <c r="D399" s="29" t="s">
        <v>210</v>
      </c>
      <c r="E399" s="30"/>
      <c r="F399" s="31"/>
      <c r="G399" s="15" t="s">
        <v>57</v>
      </c>
      <c r="H399" s="16" t="s">
        <v>50</v>
      </c>
    </row>
    <row r="400" spans="2:8" s="1" customFormat="1" x14ac:dyDescent="0.15">
      <c r="B400" s="32">
        <v>200078</v>
      </c>
      <c r="C400" s="2" t="s">
        <v>2</v>
      </c>
      <c r="D400" s="9">
        <f>ROUND(C12*880,0)</f>
        <v>9240</v>
      </c>
      <c r="E400" s="3" t="s">
        <v>3</v>
      </c>
      <c r="F400" s="11">
        <f>ROUND(C12*476,0)</f>
        <v>4998</v>
      </c>
      <c r="G400" s="4" t="s">
        <v>8</v>
      </c>
      <c r="H400" s="17" t="s">
        <v>29</v>
      </c>
    </row>
    <row r="401" spans="2:8" s="1" customFormat="1" ht="13.5" customHeight="1" x14ac:dyDescent="0.15">
      <c r="B401" s="33"/>
      <c r="C401" s="5" t="s">
        <v>4</v>
      </c>
      <c r="D401" s="9">
        <f>ROUND(C12*680,0)</f>
        <v>7140</v>
      </c>
      <c r="E401" s="6" t="s">
        <v>5</v>
      </c>
      <c r="F401" s="11">
        <f>ROUND(C12*880,0)</f>
        <v>9240</v>
      </c>
      <c r="G401" s="35">
        <v>100</v>
      </c>
      <c r="H401" s="17"/>
    </row>
    <row r="402" spans="2:8" s="1" customFormat="1" ht="13.5" customHeight="1" x14ac:dyDescent="0.15">
      <c r="B402" s="33"/>
      <c r="C402" s="7" t="s">
        <v>6</v>
      </c>
      <c r="D402" s="10">
        <v>7</v>
      </c>
      <c r="E402" s="8" t="s">
        <v>7</v>
      </c>
      <c r="F402" s="12">
        <f>ROUND(C12*370,0)</f>
        <v>3885</v>
      </c>
      <c r="G402" s="36"/>
      <c r="H402" s="17"/>
    </row>
    <row r="403" spans="2:8" s="1" customFormat="1" ht="14.25" thickBot="1" x14ac:dyDescent="0.2">
      <c r="B403" s="34"/>
      <c r="C403" s="18" t="s">
        <v>16</v>
      </c>
      <c r="D403" s="19" t="s">
        <v>419</v>
      </c>
      <c r="E403" s="20" t="s">
        <v>17</v>
      </c>
      <c r="F403" s="21" t="s">
        <v>48</v>
      </c>
      <c r="G403" s="22" t="s">
        <v>20</v>
      </c>
      <c r="H403" s="23" t="s">
        <v>37</v>
      </c>
    </row>
    <row r="404" spans="2:8" s="1" customFormat="1" x14ac:dyDescent="0.15">
      <c r="B404" s="13" t="s">
        <v>1</v>
      </c>
      <c r="C404" s="14" t="s">
        <v>0</v>
      </c>
      <c r="D404" s="29" t="s">
        <v>212</v>
      </c>
      <c r="E404" s="30"/>
      <c r="F404" s="31"/>
      <c r="G404" s="15" t="s">
        <v>57</v>
      </c>
      <c r="H404" s="16" t="s">
        <v>213</v>
      </c>
    </row>
    <row r="405" spans="2:8" s="1" customFormat="1" x14ac:dyDescent="0.15">
      <c r="B405" s="32">
        <v>200079</v>
      </c>
      <c r="C405" s="2" t="s">
        <v>2</v>
      </c>
      <c r="D405" s="9">
        <f>ROUND(C12*880,0)</f>
        <v>9240</v>
      </c>
      <c r="E405" s="3" t="s">
        <v>3</v>
      </c>
      <c r="F405" s="11">
        <f>ROUND(C12*476,0)</f>
        <v>4998</v>
      </c>
      <c r="G405" s="4" t="s">
        <v>8</v>
      </c>
      <c r="H405" s="17" t="s">
        <v>214</v>
      </c>
    </row>
    <row r="406" spans="2:8" s="1" customFormat="1" ht="13.5" customHeight="1" x14ac:dyDescent="0.15">
      <c r="B406" s="33"/>
      <c r="C406" s="5" t="s">
        <v>4</v>
      </c>
      <c r="D406" s="9">
        <f>ROUND(C12*680,0)</f>
        <v>7140</v>
      </c>
      <c r="E406" s="6" t="s">
        <v>5</v>
      </c>
      <c r="F406" s="11">
        <f>ROUND(C12*880,0)</f>
        <v>9240</v>
      </c>
      <c r="G406" s="35">
        <v>100</v>
      </c>
      <c r="H406" s="17"/>
    </row>
    <row r="407" spans="2:8" s="1" customFormat="1" ht="13.5" customHeight="1" x14ac:dyDescent="0.15">
      <c r="B407" s="33"/>
      <c r="C407" s="7" t="s">
        <v>6</v>
      </c>
      <c r="D407" s="10">
        <v>7</v>
      </c>
      <c r="E407" s="8" t="s">
        <v>7</v>
      </c>
      <c r="F407" s="12">
        <f>ROUND(C12*370,0)</f>
        <v>3885</v>
      </c>
      <c r="G407" s="36"/>
      <c r="H407" s="17"/>
    </row>
    <row r="408" spans="2:8" s="1" customFormat="1" ht="14.25" thickBot="1" x14ac:dyDescent="0.2">
      <c r="B408" s="34"/>
      <c r="C408" s="18" t="s">
        <v>16</v>
      </c>
      <c r="D408" s="19" t="s">
        <v>402</v>
      </c>
      <c r="E408" s="20" t="s">
        <v>17</v>
      </c>
      <c r="F408" s="21" t="s">
        <v>85</v>
      </c>
      <c r="G408" s="22" t="s">
        <v>20</v>
      </c>
      <c r="H408" s="23" t="s">
        <v>114</v>
      </c>
    </row>
    <row r="409" spans="2:8" s="1" customFormat="1" x14ac:dyDescent="0.15">
      <c r="B409" s="13" t="s">
        <v>1</v>
      </c>
      <c r="C409" s="14" t="s">
        <v>0</v>
      </c>
      <c r="D409" s="29" t="s">
        <v>215</v>
      </c>
      <c r="E409" s="30"/>
      <c r="F409" s="31"/>
      <c r="G409" s="15" t="s">
        <v>57</v>
      </c>
      <c r="H409" s="16" t="s">
        <v>124</v>
      </c>
    </row>
    <row r="410" spans="2:8" s="1" customFormat="1" x14ac:dyDescent="0.15">
      <c r="B410" s="32">
        <v>200080</v>
      </c>
      <c r="C410" s="2" t="s">
        <v>2</v>
      </c>
      <c r="D410" s="9">
        <f>ROUND(C12*880,0)</f>
        <v>9240</v>
      </c>
      <c r="E410" s="3" t="s">
        <v>3</v>
      </c>
      <c r="F410" s="11">
        <f>ROUND(C12*476,0)</f>
        <v>4998</v>
      </c>
      <c r="G410" s="4" t="s">
        <v>8</v>
      </c>
      <c r="H410" s="17" t="s">
        <v>403</v>
      </c>
    </row>
    <row r="411" spans="2:8" s="1" customFormat="1" ht="13.5" customHeight="1" x14ac:dyDescent="0.15">
      <c r="B411" s="33"/>
      <c r="C411" s="5" t="s">
        <v>4</v>
      </c>
      <c r="D411" s="9">
        <f>ROUND(C12*680,0)</f>
        <v>7140</v>
      </c>
      <c r="E411" s="6" t="s">
        <v>5</v>
      </c>
      <c r="F411" s="11">
        <f>ROUND(C12*880,0)</f>
        <v>9240</v>
      </c>
      <c r="G411" s="35">
        <v>30</v>
      </c>
      <c r="H411" s="17"/>
    </row>
    <row r="412" spans="2:8" s="1" customFormat="1" ht="13.5" customHeight="1" x14ac:dyDescent="0.15">
      <c r="B412" s="33"/>
      <c r="C412" s="7" t="s">
        <v>6</v>
      </c>
      <c r="D412" s="10">
        <v>7</v>
      </c>
      <c r="E412" s="8" t="s">
        <v>7</v>
      </c>
      <c r="F412" s="12">
        <f>ROUND(C12*530,0)</f>
        <v>5565</v>
      </c>
      <c r="G412" s="36"/>
      <c r="H412" s="17"/>
    </row>
    <row r="413" spans="2:8" s="1" customFormat="1" ht="14.25" thickBot="1" x14ac:dyDescent="0.2">
      <c r="B413" s="34"/>
      <c r="C413" s="18" t="s">
        <v>16</v>
      </c>
      <c r="D413" s="19" t="s">
        <v>419</v>
      </c>
      <c r="E413" s="20" t="s">
        <v>17</v>
      </c>
      <c r="F413" s="21" t="s">
        <v>52</v>
      </c>
      <c r="G413" s="22" t="s">
        <v>20</v>
      </c>
      <c r="H413" s="23" t="s">
        <v>37</v>
      </c>
    </row>
    <row r="414" spans="2:8" s="1" customFormat="1" x14ac:dyDescent="0.15">
      <c r="B414" s="13" t="s">
        <v>1</v>
      </c>
      <c r="C414" s="14" t="s">
        <v>0</v>
      </c>
      <c r="D414" s="29" t="s">
        <v>217</v>
      </c>
      <c r="E414" s="30"/>
      <c r="F414" s="31"/>
      <c r="G414" s="15" t="s">
        <v>57</v>
      </c>
      <c r="H414" s="16" t="s">
        <v>55</v>
      </c>
    </row>
    <row r="415" spans="2:8" s="1" customFormat="1" x14ac:dyDescent="0.15">
      <c r="B415" s="32">
        <v>200081</v>
      </c>
      <c r="C415" s="2" t="s">
        <v>2</v>
      </c>
      <c r="D415" s="9">
        <f>ROUND(C12*880,0)</f>
        <v>9240</v>
      </c>
      <c r="E415" s="3" t="s">
        <v>3</v>
      </c>
      <c r="F415" s="11">
        <f>ROUND(C12*980,0)</f>
        <v>10290</v>
      </c>
      <c r="G415" s="4" t="s">
        <v>8</v>
      </c>
      <c r="H415" s="17" t="s">
        <v>30</v>
      </c>
    </row>
    <row r="416" spans="2:8" s="1" customFormat="1" ht="13.5" customHeight="1" x14ac:dyDescent="0.15">
      <c r="B416" s="33"/>
      <c r="C416" s="5" t="s">
        <v>4</v>
      </c>
      <c r="D416" s="9">
        <f>ROUND(C12*680,0)</f>
        <v>7140</v>
      </c>
      <c r="E416" s="6" t="s">
        <v>5</v>
      </c>
      <c r="F416" s="11">
        <f>ROUND(C12*1936,0)</f>
        <v>20328</v>
      </c>
      <c r="G416" s="35">
        <v>100</v>
      </c>
      <c r="H416" s="17"/>
    </row>
    <row r="417" spans="2:8" s="1" customFormat="1" ht="13.5" customHeight="1" x14ac:dyDescent="0.15">
      <c r="B417" s="33"/>
      <c r="C417" s="7" t="s">
        <v>6</v>
      </c>
      <c r="D417" s="10">
        <v>4</v>
      </c>
      <c r="E417" s="8" t="s">
        <v>7</v>
      </c>
      <c r="F417" s="12">
        <f>ROUND(C12*530,0)</f>
        <v>5565</v>
      </c>
      <c r="G417" s="36"/>
      <c r="H417" s="17"/>
    </row>
    <row r="418" spans="2:8" s="1" customFormat="1" ht="14.25" thickBot="1" x14ac:dyDescent="0.2">
      <c r="B418" s="34"/>
      <c r="C418" s="18" t="s">
        <v>16</v>
      </c>
      <c r="D418" s="19" t="s">
        <v>404</v>
      </c>
      <c r="E418" s="20" t="s">
        <v>17</v>
      </c>
      <c r="F418" s="21" t="s">
        <v>257</v>
      </c>
      <c r="G418" s="22" t="s">
        <v>20</v>
      </c>
      <c r="H418" s="23" t="s">
        <v>37</v>
      </c>
    </row>
    <row r="419" spans="2:8" s="1" customFormat="1" x14ac:dyDescent="0.15">
      <c r="B419" s="13" t="s">
        <v>1</v>
      </c>
      <c r="C419" s="14" t="s">
        <v>0</v>
      </c>
      <c r="D419" s="29" t="s">
        <v>219</v>
      </c>
      <c r="E419" s="30"/>
      <c r="F419" s="31"/>
      <c r="G419" s="15" t="s">
        <v>57</v>
      </c>
      <c r="H419" s="16" t="s">
        <v>44</v>
      </c>
    </row>
    <row r="420" spans="2:8" s="1" customFormat="1" x14ac:dyDescent="0.15">
      <c r="B420" s="32">
        <v>200082</v>
      </c>
      <c r="C420" s="2" t="s">
        <v>2</v>
      </c>
      <c r="D420" s="9">
        <f>ROUND(C12*880,0)</f>
        <v>9240</v>
      </c>
      <c r="E420" s="3" t="s">
        <v>3</v>
      </c>
      <c r="F420" s="11">
        <f>ROUND(C12*476,0)</f>
        <v>4998</v>
      </c>
      <c r="G420" s="4" t="s">
        <v>8</v>
      </c>
      <c r="H420" s="17" t="s">
        <v>26</v>
      </c>
    </row>
    <row r="421" spans="2:8" s="1" customFormat="1" ht="13.5" customHeight="1" x14ac:dyDescent="0.15">
      <c r="B421" s="33"/>
      <c r="C421" s="5" t="s">
        <v>4</v>
      </c>
      <c r="D421" s="9">
        <f>ROUND(C12*680,0)</f>
        <v>7140</v>
      </c>
      <c r="E421" s="6" t="s">
        <v>5</v>
      </c>
      <c r="F421" s="11">
        <f>ROUND(C12*880,0)</f>
        <v>9240</v>
      </c>
      <c r="G421" s="35">
        <v>100</v>
      </c>
      <c r="H421" s="17"/>
    </row>
    <row r="422" spans="2:8" s="1" customFormat="1" ht="13.5" customHeight="1" x14ac:dyDescent="0.15">
      <c r="B422" s="33"/>
      <c r="C422" s="7" t="s">
        <v>6</v>
      </c>
      <c r="D422" s="10">
        <v>7</v>
      </c>
      <c r="E422" s="8" t="s">
        <v>7</v>
      </c>
      <c r="F422" s="12">
        <f>ROUND(C12*480,0)</f>
        <v>5040</v>
      </c>
      <c r="G422" s="36"/>
      <c r="H422" s="17"/>
    </row>
    <row r="423" spans="2:8" s="1" customFormat="1" ht="14.25" thickBot="1" x14ac:dyDescent="0.2">
      <c r="B423" s="34"/>
      <c r="C423" s="18" t="s">
        <v>16</v>
      </c>
      <c r="D423" s="19" t="s">
        <v>391</v>
      </c>
      <c r="E423" s="20" t="s">
        <v>17</v>
      </c>
      <c r="F423" s="21" t="s">
        <v>392</v>
      </c>
      <c r="G423" s="22" t="s">
        <v>20</v>
      </c>
      <c r="H423" s="23" t="s">
        <v>37</v>
      </c>
    </row>
    <row r="424" spans="2:8" s="1" customFormat="1" x14ac:dyDescent="0.15">
      <c r="B424" s="13" t="s">
        <v>1</v>
      </c>
      <c r="C424" s="14" t="s">
        <v>0</v>
      </c>
      <c r="D424" s="29" t="s">
        <v>221</v>
      </c>
      <c r="E424" s="30"/>
      <c r="F424" s="31"/>
      <c r="G424" s="15" t="s">
        <v>57</v>
      </c>
      <c r="H424" s="16" t="s">
        <v>35</v>
      </c>
    </row>
    <row r="425" spans="2:8" s="1" customFormat="1" x14ac:dyDescent="0.15">
      <c r="B425" s="32">
        <v>200083</v>
      </c>
      <c r="C425" s="2" t="s">
        <v>2</v>
      </c>
      <c r="D425" s="9">
        <f>ROUND(C12*880,0)</f>
        <v>9240</v>
      </c>
      <c r="E425" s="3" t="s">
        <v>3</v>
      </c>
      <c r="F425" s="11">
        <f>ROUND(C12*476,0)</f>
        <v>4998</v>
      </c>
      <c r="G425" s="4" t="s">
        <v>8</v>
      </c>
      <c r="H425" s="17" t="s">
        <v>23</v>
      </c>
    </row>
    <row r="426" spans="2:8" s="1" customFormat="1" ht="13.5" customHeight="1" x14ac:dyDescent="0.15">
      <c r="B426" s="33"/>
      <c r="C426" s="5" t="s">
        <v>4</v>
      </c>
      <c r="D426" s="9">
        <f>ROUND(C12*680,0)</f>
        <v>7140</v>
      </c>
      <c r="E426" s="6" t="s">
        <v>5</v>
      </c>
      <c r="F426" s="11">
        <f>ROUND(C12*880,0)</f>
        <v>9240</v>
      </c>
      <c r="G426" s="35">
        <v>100</v>
      </c>
      <c r="H426" s="17"/>
    </row>
    <row r="427" spans="2:8" s="1" customFormat="1" ht="13.5" customHeight="1" x14ac:dyDescent="0.15">
      <c r="B427" s="33"/>
      <c r="C427" s="7" t="s">
        <v>6</v>
      </c>
      <c r="D427" s="10">
        <v>7</v>
      </c>
      <c r="E427" s="8" t="s">
        <v>7</v>
      </c>
      <c r="F427" s="12">
        <f>ROUND(C12*480,0)</f>
        <v>5040</v>
      </c>
      <c r="G427" s="36"/>
      <c r="H427" s="17"/>
    </row>
    <row r="428" spans="2:8" s="1" customFormat="1" ht="14.25" thickBot="1" x14ac:dyDescent="0.2">
      <c r="B428" s="34"/>
      <c r="C428" s="18" t="s">
        <v>16</v>
      </c>
      <c r="D428" s="19" t="s">
        <v>389</v>
      </c>
      <c r="E428" s="20" t="s">
        <v>17</v>
      </c>
      <c r="F428" s="21" t="s">
        <v>33</v>
      </c>
      <c r="G428" s="22" t="s">
        <v>20</v>
      </c>
      <c r="H428" s="23" t="s">
        <v>37</v>
      </c>
    </row>
    <row r="429" spans="2:8" s="1" customFormat="1" x14ac:dyDescent="0.15">
      <c r="B429" s="13" t="s">
        <v>1</v>
      </c>
      <c r="C429" s="14" t="s">
        <v>0</v>
      </c>
      <c r="D429" s="29" t="s">
        <v>222</v>
      </c>
      <c r="E429" s="30"/>
      <c r="F429" s="31"/>
      <c r="G429" s="15" t="s">
        <v>57</v>
      </c>
      <c r="H429" s="16" t="s">
        <v>41</v>
      </c>
    </row>
    <row r="430" spans="2:8" s="1" customFormat="1" x14ac:dyDescent="0.15">
      <c r="B430" s="32">
        <v>200084</v>
      </c>
      <c r="C430" s="2" t="s">
        <v>2</v>
      </c>
      <c r="D430" s="9">
        <f>ROUND(C12*880,0)</f>
        <v>9240</v>
      </c>
      <c r="E430" s="3" t="s">
        <v>3</v>
      </c>
      <c r="F430" s="11">
        <f>ROUND(C12*980,0)</f>
        <v>10290</v>
      </c>
      <c r="G430" s="4" t="s">
        <v>8</v>
      </c>
      <c r="H430" s="17" t="s">
        <v>25</v>
      </c>
    </row>
    <row r="431" spans="2:8" s="1" customFormat="1" ht="13.5" customHeight="1" x14ac:dyDescent="0.15">
      <c r="B431" s="33"/>
      <c r="C431" s="5" t="s">
        <v>4</v>
      </c>
      <c r="D431" s="9">
        <f>ROUND(C12*680,0)</f>
        <v>7140</v>
      </c>
      <c r="E431" s="6" t="s">
        <v>5</v>
      </c>
      <c r="F431" s="11">
        <f>ROUND(C12*1936,0)</f>
        <v>20328</v>
      </c>
      <c r="G431" s="35">
        <v>100</v>
      </c>
      <c r="H431" s="17"/>
    </row>
    <row r="432" spans="2:8" s="1" customFormat="1" ht="13.5" customHeight="1" x14ac:dyDescent="0.15">
      <c r="B432" s="33"/>
      <c r="C432" s="7" t="s">
        <v>6</v>
      </c>
      <c r="D432" s="10">
        <v>4</v>
      </c>
      <c r="E432" s="8" t="s">
        <v>7</v>
      </c>
      <c r="F432" s="12">
        <f>ROUND(C12*530,0)</f>
        <v>5565</v>
      </c>
      <c r="G432" s="36"/>
      <c r="H432" s="17"/>
    </row>
    <row r="433" spans="2:8" s="1" customFormat="1" ht="14.25" thickBot="1" x14ac:dyDescent="0.2">
      <c r="B433" s="34"/>
      <c r="C433" s="18" t="s">
        <v>16</v>
      </c>
      <c r="D433" s="19" t="s">
        <v>420</v>
      </c>
      <c r="E433" s="20" t="s">
        <v>17</v>
      </c>
      <c r="F433" s="21" t="s">
        <v>93</v>
      </c>
      <c r="G433" s="22" t="s">
        <v>20</v>
      </c>
      <c r="H433" s="23" t="s">
        <v>37</v>
      </c>
    </row>
    <row r="434" spans="2:8" s="1" customFormat="1" x14ac:dyDescent="0.15">
      <c r="B434" s="13" t="s">
        <v>1</v>
      </c>
      <c r="C434" s="14" t="s">
        <v>0</v>
      </c>
      <c r="D434" s="29" t="s">
        <v>223</v>
      </c>
      <c r="E434" s="30"/>
      <c r="F434" s="31"/>
      <c r="G434" s="15" t="s">
        <v>57</v>
      </c>
      <c r="H434" s="16" t="s">
        <v>44</v>
      </c>
    </row>
    <row r="435" spans="2:8" s="1" customFormat="1" x14ac:dyDescent="0.15">
      <c r="B435" s="32">
        <v>200085</v>
      </c>
      <c r="C435" s="2" t="s">
        <v>2</v>
      </c>
      <c r="D435" s="9">
        <f>ROUND(C12*880,0)</f>
        <v>9240</v>
      </c>
      <c r="E435" s="3" t="s">
        <v>3</v>
      </c>
      <c r="F435" s="11">
        <f>ROUND(C12*476,0)</f>
        <v>4998</v>
      </c>
      <c r="G435" s="4" t="s">
        <v>8</v>
      </c>
      <c r="H435" s="17" t="s">
        <v>26</v>
      </c>
    </row>
    <row r="436" spans="2:8" s="1" customFormat="1" ht="13.5" customHeight="1" x14ac:dyDescent="0.15">
      <c r="B436" s="33"/>
      <c r="C436" s="5" t="s">
        <v>4</v>
      </c>
      <c r="D436" s="9">
        <f>ROUND(C12*680,0)</f>
        <v>7140</v>
      </c>
      <c r="E436" s="6" t="s">
        <v>5</v>
      </c>
      <c r="F436" s="11">
        <f>ROUND(C12*880,0)</f>
        <v>9240</v>
      </c>
      <c r="G436" s="35">
        <v>100</v>
      </c>
      <c r="H436" s="17"/>
    </row>
    <row r="437" spans="2:8" s="1" customFormat="1" ht="13.5" customHeight="1" x14ac:dyDescent="0.15">
      <c r="B437" s="33"/>
      <c r="C437" s="7" t="s">
        <v>6</v>
      </c>
      <c r="D437" s="10">
        <v>7</v>
      </c>
      <c r="E437" s="8" t="s">
        <v>7</v>
      </c>
      <c r="F437" s="12">
        <f>ROUND(C12*530,0)</f>
        <v>5565</v>
      </c>
      <c r="G437" s="36"/>
      <c r="H437" s="17"/>
    </row>
    <row r="438" spans="2:8" s="1" customFormat="1" ht="14.25" thickBot="1" x14ac:dyDescent="0.2">
      <c r="B438" s="34"/>
      <c r="C438" s="18" t="s">
        <v>16</v>
      </c>
      <c r="D438" s="19" t="s">
        <v>382</v>
      </c>
      <c r="E438" s="20" t="s">
        <v>17</v>
      </c>
      <c r="F438" s="21" t="s">
        <v>421</v>
      </c>
      <c r="G438" s="22" t="s">
        <v>20</v>
      </c>
      <c r="H438" s="23" t="s">
        <v>37</v>
      </c>
    </row>
    <row r="439" spans="2:8" s="1" customFormat="1" x14ac:dyDescent="0.15">
      <c r="B439" s="13" t="s">
        <v>1</v>
      </c>
      <c r="C439" s="14" t="s">
        <v>0</v>
      </c>
      <c r="D439" s="29" t="s">
        <v>224</v>
      </c>
      <c r="E439" s="30"/>
      <c r="F439" s="31"/>
      <c r="G439" s="15" t="s">
        <v>57</v>
      </c>
      <c r="H439" s="16" t="s">
        <v>46</v>
      </c>
    </row>
    <row r="440" spans="2:8" s="1" customFormat="1" x14ac:dyDescent="0.15">
      <c r="B440" s="32">
        <v>200086</v>
      </c>
      <c r="C440" s="2" t="s">
        <v>2</v>
      </c>
      <c r="D440" s="9">
        <f>ROUND(C12*880,0)</f>
        <v>9240</v>
      </c>
      <c r="E440" s="3" t="s">
        <v>3</v>
      </c>
      <c r="F440" s="11">
        <f>ROUND(C12*980,0)</f>
        <v>10290</v>
      </c>
      <c r="G440" s="4" t="s">
        <v>8</v>
      </c>
      <c r="H440" s="17" t="s">
        <v>27</v>
      </c>
    </row>
    <row r="441" spans="2:8" s="1" customFormat="1" ht="13.5" customHeight="1" x14ac:dyDescent="0.15">
      <c r="B441" s="33"/>
      <c r="C441" s="5" t="s">
        <v>4</v>
      </c>
      <c r="D441" s="9">
        <f>ROUND(C12*680,0)</f>
        <v>7140</v>
      </c>
      <c r="E441" s="6" t="s">
        <v>5</v>
      </c>
      <c r="F441" s="11">
        <f>ROUND(C12*1936,0)</f>
        <v>20328</v>
      </c>
      <c r="G441" s="35">
        <v>100</v>
      </c>
      <c r="H441" s="17"/>
    </row>
    <row r="442" spans="2:8" s="1" customFormat="1" ht="13.5" customHeight="1" x14ac:dyDescent="0.15">
      <c r="B442" s="33"/>
      <c r="C442" s="7" t="s">
        <v>6</v>
      </c>
      <c r="D442" s="10">
        <v>4</v>
      </c>
      <c r="E442" s="8" t="s">
        <v>7</v>
      </c>
      <c r="F442" s="12">
        <f>ROUND(C12*530,0)</f>
        <v>5565</v>
      </c>
      <c r="G442" s="36"/>
      <c r="H442" s="17"/>
    </row>
    <row r="443" spans="2:8" s="1" customFormat="1" ht="14.25" thickBot="1" x14ac:dyDescent="0.2">
      <c r="B443" s="34"/>
      <c r="C443" s="18" t="s">
        <v>16</v>
      </c>
      <c r="D443" s="19" t="s">
        <v>422</v>
      </c>
      <c r="E443" s="20" t="s">
        <v>17</v>
      </c>
      <c r="F443" s="21" t="s">
        <v>257</v>
      </c>
      <c r="G443" s="22" t="s">
        <v>20</v>
      </c>
      <c r="H443" s="23" t="s">
        <v>37</v>
      </c>
    </row>
    <row r="444" spans="2:8" s="1" customFormat="1" x14ac:dyDescent="0.15">
      <c r="B444" s="13" t="s">
        <v>1</v>
      </c>
      <c r="C444" s="14" t="s">
        <v>0</v>
      </c>
      <c r="D444" s="29" t="s">
        <v>225</v>
      </c>
      <c r="E444" s="30"/>
      <c r="F444" s="31"/>
      <c r="G444" s="15" t="s">
        <v>57</v>
      </c>
      <c r="H444" s="16" t="s">
        <v>31</v>
      </c>
    </row>
    <row r="445" spans="2:8" s="1" customFormat="1" x14ac:dyDescent="0.15">
      <c r="B445" s="32">
        <v>200087</v>
      </c>
      <c r="C445" s="2" t="s">
        <v>2</v>
      </c>
      <c r="D445" s="9">
        <f>ROUND(C12*880,0)</f>
        <v>9240</v>
      </c>
      <c r="E445" s="3" t="s">
        <v>3</v>
      </c>
      <c r="F445" s="11">
        <f>ROUND(C12*476,0)</f>
        <v>4998</v>
      </c>
      <c r="G445" s="4" t="s">
        <v>8</v>
      </c>
      <c r="H445" s="17" t="s">
        <v>22</v>
      </c>
    </row>
    <row r="446" spans="2:8" s="1" customFormat="1" ht="13.5" customHeight="1" x14ac:dyDescent="0.15">
      <c r="B446" s="33"/>
      <c r="C446" s="5" t="s">
        <v>4</v>
      </c>
      <c r="D446" s="9">
        <f>ROUND(C12*680,0)</f>
        <v>7140</v>
      </c>
      <c r="E446" s="6" t="s">
        <v>5</v>
      </c>
      <c r="F446" s="11">
        <f>ROUND(C12*880,0)</f>
        <v>9240</v>
      </c>
      <c r="G446" s="35">
        <v>50</v>
      </c>
      <c r="H446" s="17"/>
    </row>
    <row r="447" spans="2:8" s="1" customFormat="1" ht="13.5" customHeight="1" x14ac:dyDescent="0.15">
      <c r="B447" s="33"/>
      <c r="C447" s="7" t="s">
        <v>6</v>
      </c>
      <c r="D447" s="10">
        <v>7</v>
      </c>
      <c r="E447" s="8" t="s">
        <v>7</v>
      </c>
      <c r="F447" s="12">
        <f>ROUND(C12*480,0)</f>
        <v>5040</v>
      </c>
      <c r="G447" s="36"/>
      <c r="H447" s="17"/>
    </row>
    <row r="448" spans="2:8" s="1" customFormat="1" ht="14.25" thickBot="1" x14ac:dyDescent="0.2">
      <c r="B448" s="34"/>
      <c r="C448" s="18" t="s">
        <v>16</v>
      </c>
      <c r="D448" s="19" t="s">
        <v>220</v>
      </c>
      <c r="E448" s="20" t="s">
        <v>17</v>
      </c>
      <c r="F448" s="21" t="s">
        <v>85</v>
      </c>
      <c r="G448" s="22" t="s">
        <v>20</v>
      </c>
      <c r="H448" s="23" t="s">
        <v>34</v>
      </c>
    </row>
    <row r="449" spans="2:8" s="1" customFormat="1" x14ac:dyDescent="0.15">
      <c r="B449" s="13" t="s">
        <v>1</v>
      </c>
      <c r="C449" s="14" t="s">
        <v>0</v>
      </c>
      <c r="D449" s="29" t="s">
        <v>226</v>
      </c>
      <c r="E449" s="30"/>
      <c r="F449" s="31"/>
      <c r="G449" s="15" t="s">
        <v>57</v>
      </c>
      <c r="H449" s="16" t="s">
        <v>55</v>
      </c>
    </row>
    <row r="450" spans="2:8" s="1" customFormat="1" x14ac:dyDescent="0.15">
      <c r="B450" s="32">
        <v>200088</v>
      </c>
      <c r="C450" s="2" t="s">
        <v>2</v>
      </c>
      <c r="D450" s="9">
        <f>ROUND(C12*880,0)</f>
        <v>9240</v>
      </c>
      <c r="E450" s="3" t="s">
        <v>3</v>
      </c>
      <c r="F450" s="11">
        <f>ROUND(C12*476,0)</f>
        <v>4998</v>
      </c>
      <c r="G450" s="4" t="s">
        <v>8</v>
      </c>
      <c r="H450" s="17" t="s">
        <v>30</v>
      </c>
    </row>
    <row r="451" spans="2:8" s="1" customFormat="1" ht="13.5" customHeight="1" x14ac:dyDescent="0.15">
      <c r="B451" s="33"/>
      <c r="C451" s="5" t="s">
        <v>4</v>
      </c>
      <c r="D451" s="9">
        <f>ROUND(C12*680,0)</f>
        <v>7140</v>
      </c>
      <c r="E451" s="6" t="s">
        <v>5</v>
      </c>
      <c r="F451" s="11">
        <f>ROUND(C12*880,0)</f>
        <v>9240</v>
      </c>
      <c r="G451" s="35">
        <v>100</v>
      </c>
      <c r="H451" s="17"/>
    </row>
    <row r="452" spans="2:8" s="1" customFormat="1" ht="13.5" customHeight="1" x14ac:dyDescent="0.15">
      <c r="B452" s="33"/>
      <c r="C452" s="7" t="s">
        <v>6</v>
      </c>
      <c r="D452" s="10">
        <v>7</v>
      </c>
      <c r="E452" s="8" t="s">
        <v>7</v>
      </c>
      <c r="F452" s="12">
        <f>ROUND(C12*480,0)</f>
        <v>5040</v>
      </c>
      <c r="G452" s="36"/>
      <c r="H452" s="17"/>
    </row>
    <row r="453" spans="2:8" s="1" customFormat="1" ht="14.25" thickBot="1" x14ac:dyDescent="0.2">
      <c r="B453" s="34"/>
      <c r="C453" s="18" t="s">
        <v>16</v>
      </c>
      <c r="D453" s="19" t="s">
        <v>40</v>
      </c>
      <c r="E453" s="20" t="s">
        <v>17</v>
      </c>
      <c r="F453" s="21" t="s">
        <v>93</v>
      </c>
      <c r="G453" s="22" t="s">
        <v>20</v>
      </c>
      <c r="H453" s="23" t="s">
        <v>37</v>
      </c>
    </row>
    <row r="454" spans="2:8" s="1" customFormat="1" x14ac:dyDescent="0.15">
      <c r="B454" s="13" t="s">
        <v>1</v>
      </c>
      <c r="C454" s="14" t="s">
        <v>0</v>
      </c>
      <c r="D454" s="29" t="s">
        <v>227</v>
      </c>
      <c r="E454" s="30"/>
      <c r="F454" s="31"/>
      <c r="G454" s="15" t="s">
        <v>57</v>
      </c>
      <c r="H454" s="16" t="s">
        <v>80</v>
      </c>
    </row>
    <row r="455" spans="2:8" s="1" customFormat="1" x14ac:dyDescent="0.15">
      <c r="B455" s="32">
        <v>200089</v>
      </c>
      <c r="C455" s="2" t="s">
        <v>2</v>
      </c>
      <c r="D455" s="9">
        <f>ROUND(C12*880,0)</f>
        <v>9240</v>
      </c>
      <c r="E455" s="3" t="s">
        <v>3</v>
      </c>
      <c r="F455" s="11">
        <f>ROUND(C12*980,0)</f>
        <v>10290</v>
      </c>
      <c r="G455" s="4" t="s">
        <v>8</v>
      </c>
      <c r="H455" s="17" t="s">
        <v>81</v>
      </c>
    </row>
    <row r="456" spans="2:8" s="1" customFormat="1" ht="13.5" customHeight="1" x14ac:dyDescent="0.15">
      <c r="B456" s="33"/>
      <c r="C456" s="5" t="s">
        <v>4</v>
      </c>
      <c r="D456" s="9">
        <f>ROUND(C12*680,0)</f>
        <v>7140</v>
      </c>
      <c r="E456" s="6" t="s">
        <v>5</v>
      </c>
      <c r="F456" s="11">
        <f>ROUND(C12*1936,0)</f>
        <v>20328</v>
      </c>
      <c r="G456" s="35">
        <v>100</v>
      </c>
      <c r="H456" s="17"/>
    </row>
    <row r="457" spans="2:8" s="1" customFormat="1" ht="13.5" customHeight="1" x14ac:dyDescent="0.15">
      <c r="B457" s="33"/>
      <c r="C457" s="7" t="s">
        <v>6</v>
      </c>
      <c r="D457" s="10">
        <v>4</v>
      </c>
      <c r="E457" s="8" t="s">
        <v>7</v>
      </c>
      <c r="F457" s="12">
        <f>ROUND(C12*530,0)</f>
        <v>5565</v>
      </c>
      <c r="G457" s="36"/>
      <c r="H457" s="17"/>
    </row>
    <row r="458" spans="2:8" s="1" customFormat="1" ht="14.25" thickBot="1" x14ac:dyDescent="0.2">
      <c r="B458" s="34"/>
      <c r="C458" s="18" t="s">
        <v>16</v>
      </c>
      <c r="D458" s="19" t="s">
        <v>393</v>
      </c>
      <c r="E458" s="20" t="s">
        <v>17</v>
      </c>
      <c r="F458" s="21" t="s">
        <v>218</v>
      </c>
      <c r="G458" s="22" t="s">
        <v>20</v>
      </c>
      <c r="H458" s="23" t="s">
        <v>37</v>
      </c>
    </row>
    <row r="459" spans="2:8" s="1" customFormat="1" x14ac:dyDescent="0.15">
      <c r="B459" s="13" t="s">
        <v>1</v>
      </c>
      <c r="C459" s="14" t="s">
        <v>0</v>
      </c>
      <c r="D459" s="29" t="s">
        <v>228</v>
      </c>
      <c r="E459" s="30"/>
      <c r="F459" s="31"/>
      <c r="G459" s="15" t="s">
        <v>57</v>
      </c>
      <c r="H459" s="16" t="s">
        <v>74</v>
      </c>
    </row>
    <row r="460" spans="2:8" s="1" customFormat="1" x14ac:dyDescent="0.15">
      <c r="B460" s="32">
        <v>200090</v>
      </c>
      <c r="C460" s="2" t="s">
        <v>2</v>
      </c>
      <c r="D460" s="9">
        <f>ROUND(C12*880,0)</f>
        <v>9240</v>
      </c>
      <c r="E460" s="3" t="s">
        <v>3</v>
      </c>
      <c r="F460" s="11">
        <f>ROUND(C12*476,0)</f>
        <v>4998</v>
      </c>
      <c r="G460" s="4" t="s">
        <v>8</v>
      </c>
      <c r="H460" s="17" t="s">
        <v>75</v>
      </c>
    </row>
    <row r="461" spans="2:8" s="1" customFormat="1" ht="13.5" customHeight="1" x14ac:dyDescent="0.15">
      <c r="B461" s="33"/>
      <c r="C461" s="5" t="s">
        <v>4</v>
      </c>
      <c r="D461" s="9">
        <f>ROUND(C12*680,0)</f>
        <v>7140</v>
      </c>
      <c r="E461" s="6" t="s">
        <v>5</v>
      </c>
      <c r="F461" s="11">
        <f>ROUND(C12*880,0)</f>
        <v>9240</v>
      </c>
      <c r="G461" s="35">
        <v>100</v>
      </c>
      <c r="H461" s="17"/>
    </row>
    <row r="462" spans="2:8" s="1" customFormat="1" ht="13.5" customHeight="1" x14ac:dyDescent="0.15">
      <c r="B462" s="33"/>
      <c r="C462" s="7" t="s">
        <v>6</v>
      </c>
      <c r="D462" s="10">
        <v>7</v>
      </c>
      <c r="E462" s="8" t="s">
        <v>7</v>
      </c>
      <c r="F462" s="12">
        <f>ROUND(C12*530,0)</f>
        <v>5565</v>
      </c>
      <c r="G462" s="36"/>
      <c r="H462" s="17"/>
    </row>
    <row r="463" spans="2:8" s="1" customFormat="1" ht="14.25" thickBot="1" x14ac:dyDescent="0.2">
      <c r="B463" s="34"/>
      <c r="C463" s="18" t="s">
        <v>16</v>
      </c>
      <c r="D463" s="19" t="s">
        <v>423</v>
      </c>
      <c r="E463" s="20" t="s">
        <v>17</v>
      </c>
      <c r="F463" s="21" t="s">
        <v>33</v>
      </c>
      <c r="G463" s="22" t="s">
        <v>20</v>
      </c>
      <c r="H463" s="23" t="s">
        <v>37</v>
      </c>
    </row>
    <row r="464" spans="2:8" s="1" customFormat="1" x14ac:dyDescent="0.15">
      <c r="B464" s="13" t="s">
        <v>1</v>
      </c>
      <c r="C464" s="14" t="s">
        <v>0</v>
      </c>
      <c r="D464" s="29" t="s">
        <v>229</v>
      </c>
      <c r="E464" s="30"/>
      <c r="F464" s="31"/>
      <c r="G464" s="15" t="s">
        <v>57</v>
      </c>
      <c r="H464" s="16" t="s">
        <v>77</v>
      </c>
    </row>
    <row r="465" spans="2:8" s="1" customFormat="1" x14ac:dyDescent="0.15">
      <c r="B465" s="32">
        <v>200091</v>
      </c>
      <c r="C465" s="2" t="s">
        <v>2</v>
      </c>
      <c r="D465" s="9">
        <f>ROUND(C12*880,0)</f>
        <v>9240</v>
      </c>
      <c r="E465" s="3" t="s">
        <v>3</v>
      </c>
      <c r="F465" s="11">
        <f>ROUND(C12*980,0)</f>
        <v>10290</v>
      </c>
      <c r="G465" s="4" t="s">
        <v>8</v>
      </c>
      <c r="H465" s="17" t="s">
        <v>78</v>
      </c>
    </row>
    <row r="466" spans="2:8" s="1" customFormat="1" ht="13.5" customHeight="1" x14ac:dyDescent="0.15">
      <c r="B466" s="33"/>
      <c r="C466" s="5" t="s">
        <v>4</v>
      </c>
      <c r="D466" s="9">
        <f>ROUND(C12*680,0)</f>
        <v>7140</v>
      </c>
      <c r="E466" s="6" t="s">
        <v>5</v>
      </c>
      <c r="F466" s="11">
        <f>ROUND(C12*1936,0)</f>
        <v>20328</v>
      </c>
      <c r="G466" s="35">
        <v>100</v>
      </c>
      <c r="H466" s="17"/>
    </row>
    <row r="467" spans="2:8" s="1" customFormat="1" ht="13.5" customHeight="1" x14ac:dyDescent="0.15">
      <c r="B467" s="33"/>
      <c r="C467" s="7" t="s">
        <v>6</v>
      </c>
      <c r="D467" s="10">
        <v>4</v>
      </c>
      <c r="E467" s="8" t="s">
        <v>7</v>
      </c>
      <c r="F467" s="12">
        <f>ROUND(C12*530,0)</f>
        <v>5565</v>
      </c>
      <c r="G467" s="36"/>
      <c r="H467" s="17"/>
    </row>
    <row r="468" spans="2:8" s="1" customFormat="1" ht="14.25" thickBot="1" x14ac:dyDescent="0.2">
      <c r="B468" s="34"/>
      <c r="C468" s="18" t="s">
        <v>16</v>
      </c>
      <c r="D468" s="19" t="s">
        <v>216</v>
      </c>
      <c r="E468" s="20" t="s">
        <v>17</v>
      </c>
      <c r="F468" s="21" t="s">
        <v>294</v>
      </c>
      <c r="G468" s="22" t="s">
        <v>20</v>
      </c>
      <c r="H468" s="23" t="s">
        <v>37</v>
      </c>
    </row>
    <row r="469" spans="2:8" s="1" customFormat="1" x14ac:dyDescent="0.15">
      <c r="B469" s="13" t="s">
        <v>1</v>
      </c>
      <c r="C469" s="14" t="s">
        <v>0</v>
      </c>
      <c r="D469" s="29" t="s">
        <v>230</v>
      </c>
      <c r="E469" s="30"/>
      <c r="F469" s="31"/>
      <c r="G469" s="15" t="s">
        <v>57</v>
      </c>
      <c r="H469" s="16" t="s">
        <v>38</v>
      </c>
    </row>
    <row r="470" spans="2:8" s="1" customFormat="1" x14ac:dyDescent="0.15">
      <c r="B470" s="32">
        <v>200092</v>
      </c>
      <c r="C470" s="2" t="s">
        <v>2</v>
      </c>
      <c r="D470" s="9">
        <f>ROUND(C12*880,0)</f>
        <v>9240</v>
      </c>
      <c r="E470" s="3" t="s">
        <v>3</v>
      </c>
      <c r="F470" s="11">
        <f>ROUND(C12*476,0)</f>
        <v>4998</v>
      </c>
      <c r="G470" s="4" t="s">
        <v>8</v>
      </c>
      <c r="H470" s="17" t="s">
        <v>24</v>
      </c>
    </row>
    <row r="471" spans="2:8" s="1" customFormat="1" ht="13.5" customHeight="1" x14ac:dyDescent="0.15">
      <c r="B471" s="33"/>
      <c r="C471" s="5" t="s">
        <v>4</v>
      </c>
      <c r="D471" s="9">
        <f>ROUND(C12*680,0)</f>
        <v>7140</v>
      </c>
      <c r="E471" s="6" t="s">
        <v>5</v>
      </c>
      <c r="F471" s="11">
        <f>ROUND(C12*880,0)</f>
        <v>9240</v>
      </c>
      <c r="G471" s="35">
        <v>50</v>
      </c>
      <c r="H471" s="17"/>
    </row>
    <row r="472" spans="2:8" s="1" customFormat="1" ht="13.5" customHeight="1" x14ac:dyDescent="0.15">
      <c r="B472" s="33"/>
      <c r="C472" s="7" t="s">
        <v>6</v>
      </c>
      <c r="D472" s="10">
        <v>7</v>
      </c>
      <c r="E472" s="8" t="s">
        <v>7</v>
      </c>
      <c r="F472" s="12">
        <f>ROUND(C12*480,0)</f>
        <v>5040</v>
      </c>
      <c r="G472" s="36"/>
      <c r="H472" s="17"/>
    </row>
    <row r="473" spans="2:8" s="1" customFormat="1" ht="14.25" thickBot="1" x14ac:dyDescent="0.2">
      <c r="B473" s="34"/>
      <c r="C473" s="18" t="s">
        <v>16</v>
      </c>
      <c r="D473" s="19" t="s">
        <v>419</v>
      </c>
      <c r="E473" s="20" t="s">
        <v>17</v>
      </c>
      <c r="F473" s="21" t="s">
        <v>52</v>
      </c>
      <c r="G473" s="22" t="s">
        <v>20</v>
      </c>
      <c r="H473" s="23" t="s">
        <v>37</v>
      </c>
    </row>
    <row r="474" spans="2:8" s="1" customFormat="1" x14ac:dyDescent="0.15">
      <c r="B474" s="13" t="s">
        <v>1</v>
      </c>
      <c r="C474" s="14" t="s">
        <v>0</v>
      </c>
      <c r="D474" s="29" t="s">
        <v>231</v>
      </c>
      <c r="E474" s="30"/>
      <c r="F474" s="31"/>
      <c r="G474" s="15" t="s">
        <v>57</v>
      </c>
      <c r="H474" s="16" t="s">
        <v>35</v>
      </c>
    </row>
    <row r="475" spans="2:8" s="1" customFormat="1" x14ac:dyDescent="0.15">
      <c r="B475" s="32">
        <v>200093</v>
      </c>
      <c r="C475" s="2" t="s">
        <v>2</v>
      </c>
      <c r="D475" s="9">
        <f>ROUND(C12*880,0)</f>
        <v>9240</v>
      </c>
      <c r="E475" s="3" t="s">
        <v>3</v>
      </c>
      <c r="F475" s="11">
        <f>ROUND(C12*476,0)</f>
        <v>4998</v>
      </c>
      <c r="G475" s="4" t="s">
        <v>8</v>
      </c>
      <c r="H475" s="17" t="s">
        <v>23</v>
      </c>
    </row>
    <row r="476" spans="2:8" s="1" customFormat="1" ht="13.5" customHeight="1" x14ac:dyDescent="0.15">
      <c r="B476" s="33"/>
      <c r="C476" s="5" t="s">
        <v>4</v>
      </c>
      <c r="D476" s="9">
        <f>ROUND(C12*680,0)</f>
        <v>7140</v>
      </c>
      <c r="E476" s="6" t="s">
        <v>5</v>
      </c>
      <c r="F476" s="11">
        <f>ROUND(C12*880,0)</f>
        <v>9240</v>
      </c>
      <c r="G476" s="35">
        <v>100</v>
      </c>
      <c r="H476" s="17"/>
    </row>
    <row r="477" spans="2:8" s="1" customFormat="1" ht="13.5" customHeight="1" x14ac:dyDescent="0.15">
      <c r="B477" s="33"/>
      <c r="C477" s="7" t="s">
        <v>6</v>
      </c>
      <c r="D477" s="10">
        <v>7</v>
      </c>
      <c r="E477" s="8" t="s">
        <v>7</v>
      </c>
      <c r="F477" s="12">
        <f>ROUND(C12*480,0)</f>
        <v>5040</v>
      </c>
      <c r="G477" s="36"/>
      <c r="H477" s="17"/>
    </row>
    <row r="478" spans="2:8" s="1" customFormat="1" ht="14.25" thickBot="1" x14ac:dyDescent="0.2">
      <c r="B478" s="34"/>
      <c r="C478" s="18" t="s">
        <v>16</v>
      </c>
      <c r="D478" s="19" t="s">
        <v>420</v>
      </c>
      <c r="E478" s="20" t="s">
        <v>17</v>
      </c>
      <c r="F478" s="21" t="s">
        <v>51</v>
      </c>
      <c r="G478" s="22" t="s">
        <v>20</v>
      </c>
      <c r="H478" s="23" t="s">
        <v>37</v>
      </c>
    </row>
    <row r="479" spans="2:8" s="1" customFormat="1" x14ac:dyDescent="0.15">
      <c r="B479" s="13" t="s">
        <v>1</v>
      </c>
      <c r="C479" s="14" t="s">
        <v>0</v>
      </c>
      <c r="D479" s="29" t="s">
        <v>232</v>
      </c>
      <c r="E479" s="30"/>
      <c r="F479" s="31"/>
      <c r="G479" s="15" t="s">
        <v>57</v>
      </c>
      <c r="H479" s="16" t="s">
        <v>41</v>
      </c>
    </row>
    <row r="480" spans="2:8" s="1" customFormat="1" x14ac:dyDescent="0.15">
      <c r="B480" s="32">
        <v>200094</v>
      </c>
      <c r="C480" s="2" t="s">
        <v>2</v>
      </c>
      <c r="D480" s="9">
        <f>ROUND(C12*880,0)</f>
        <v>9240</v>
      </c>
      <c r="E480" s="3" t="s">
        <v>3</v>
      </c>
      <c r="F480" s="11">
        <f>ROUND(C12*980,0)</f>
        <v>10290</v>
      </c>
      <c r="G480" s="4" t="s">
        <v>8</v>
      </c>
      <c r="H480" s="17" t="s">
        <v>25</v>
      </c>
    </row>
    <row r="481" spans="2:8" s="1" customFormat="1" ht="13.5" customHeight="1" x14ac:dyDescent="0.15">
      <c r="B481" s="33"/>
      <c r="C481" s="5" t="s">
        <v>4</v>
      </c>
      <c r="D481" s="9">
        <f>ROUND(C12*680,0)</f>
        <v>7140</v>
      </c>
      <c r="E481" s="6" t="s">
        <v>5</v>
      </c>
      <c r="F481" s="11">
        <f>ROUND(C12*1936,0)</f>
        <v>20328</v>
      </c>
      <c r="G481" s="35">
        <v>100</v>
      </c>
      <c r="H481" s="17"/>
    </row>
    <row r="482" spans="2:8" s="1" customFormat="1" ht="13.5" customHeight="1" x14ac:dyDescent="0.15">
      <c r="B482" s="33"/>
      <c r="C482" s="7" t="s">
        <v>6</v>
      </c>
      <c r="D482" s="10">
        <v>4</v>
      </c>
      <c r="E482" s="8" t="s">
        <v>7</v>
      </c>
      <c r="F482" s="12">
        <f>ROUND(C12*530,0)</f>
        <v>5565</v>
      </c>
      <c r="G482" s="36"/>
      <c r="H482" s="17"/>
    </row>
    <row r="483" spans="2:8" s="1" customFormat="1" ht="14.25" thickBot="1" x14ac:dyDescent="0.2">
      <c r="B483" s="34"/>
      <c r="C483" s="18" t="s">
        <v>16</v>
      </c>
      <c r="D483" s="19" t="s">
        <v>415</v>
      </c>
      <c r="E483" s="20" t="s">
        <v>17</v>
      </c>
      <c r="F483" s="21" t="s">
        <v>293</v>
      </c>
      <c r="G483" s="22" t="s">
        <v>20</v>
      </c>
      <c r="H483" s="23" t="s">
        <v>37</v>
      </c>
    </row>
    <row r="484" spans="2:8" s="1" customFormat="1" x14ac:dyDescent="0.15">
      <c r="B484" s="13" t="s">
        <v>1</v>
      </c>
      <c r="C484" s="14" t="s">
        <v>0</v>
      </c>
      <c r="D484" s="29" t="s">
        <v>233</v>
      </c>
      <c r="E484" s="30"/>
      <c r="F484" s="31"/>
      <c r="G484" s="15" t="s">
        <v>57</v>
      </c>
      <c r="H484" s="16" t="s">
        <v>91</v>
      </c>
    </row>
    <row r="485" spans="2:8" s="1" customFormat="1" x14ac:dyDescent="0.15">
      <c r="B485" s="32">
        <v>200095</v>
      </c>
      <c r="C485" s="2" t="s">
        <v>2</v>
      </c>
      <c r="D485" s="9">
        <f>ROUND(C12*880,0)</f>
        <v>9240</v>
      </c>
      <c r="E485" s="3" t="s">
        <v>3</v>
      </c>
      <c r="F485" s="11">
        <f>ROUND(C12*476,0)</f>
        <v>4998</v>
      </c>
      <c r="G485" s="4" t="s">
        <v>8</v>
      </c>
      <c r="H485" s="17" t="s">
        <v>92</v>
      </c>
    </row>
    <row r="486" spans="2:8" s="1" customFormat="1" ht="13.5" customHeight="1" x14ac:dyDescent="0.15">
      <c r="B486" s="33"/>
      <c r="C486" s="5" t="s">
        <v>4</v>
      </c>
      <c r="D486" s="9">
        <f>ROUND(C12*680,0)</f>
        <v>7140</v>
      </c>
      <c r="E486" s="6" t="s">
        <v>5</v>
      </c>
      <c r="F486" s="11">
        <f>ROUND(C12*880,0)</f>
        <v>9240</v>
      </c>
      <c r="G486" s="35">
        <v>100</v>
      </c>
      <c r="H486" s="17"/>
    </row>
    <row r="487" spans="2:8" s="1" customFormat="1" ht="13.5" customHeight="1" x14ac:dyDescent="0.15">
      <c r="B487" s="33"/>
      <c r="C487" s="7" t="s">
        <v>6</v>
      </c>
      <c r="D487" s="10">
        <v>7</v>
      </c>
      <c r="E487" s="8" t="s">
        <v>7</v>
      </c>
      <c r="F487" s="12">
        <f>ROUND(C12*530,0)</f>
        <v>5565</v>
      </c>
      <c r="G487" s="36"/>
      <c r="H487" s="17"/>
    </row>
    <row r="488" spans="2:8" s="1" customFormat="1" ht="14.25" thickBot="1" x14ac:dyDescent="0.2">
      <c r="B488" s="34"/>
      <c r="C488" s="18" t="s">
        <v>16</v>
      </c>
      <c r="D488" s="19" t="s">
        <v>424</v>
      </c>
      <c r="E488" s="20" t="s">
        <v>17</v>
      </c>
      <c r="F488" s="21" t="s">
        <v>54</v>
      </c>
      <c r="G488" s="22" t="s">
        <v>20</v>
      </c>
      <c r="H488" s="23" t="s">
        <v>37</v>
      </c>
    </row>
    <row r="489" spans="2:8" s="1" customFormat="1" x14ac:dyDescent="0.15">
      <c r="B489" s="13" t="s">
        <v>1</v>
      </c>
      <c r="C489" s="14" t="s">
        <v>0</v>
      </c>
      <c r="D489" s="29" t="s">
        <v>234</v>
      </c>
      <c r="E489" s="30"/>
      <c r="F489" s="31"/>
      <c r="G489" s="15" t="s">
        <v>57</v>
      </c>
      <c r="H489" s="16" t="s">
        <v>98</v>
      </c>
    </row>
    <row r="490" spans="2:8" s="1" customFormat="1" x14ac:dyDescent="0.15">
      <c r="B490" s="32">
        <v>200096</v>
      </c>
      <c r="C490" s="2" t="s">
        <v>2</v>
      </c>
      <c r="D490" s="9">
        <f>ROUND(C12*880,0)</f>
        <v>9240</v>
      </c>
      <c r="E490" s="3" t="s">
        <v>3</v>
      </c>
      <c r="F490" s="11">
        <f>ROUND(C12*980,0)</f>
        <v>10290</v>
      </c>
      <c r="G490" s="4" t="s">
        <v>8</v>
      </c>
      <c r="H490" s="17" t="s">
        <v>99</v>
      </c>
    </row>
    <row r="491" spans="2:8" s="1" customFormat="1" ht="13.5" customHeight="1" x14ac:dyDescent="0.15">
      <c r="B491" s="33"/>
      <c r="C491" s="5" t="s">
        <v>4</v>
      </c>
      <c r="D491" s="9">
        <f>ROUND(C12*680,0)</f>
        <v>7140</v>
      </c>
      <c r="E491" s="6" t="s">
        <v>5</v>
      </c>
      <c r="F491" s="11">
        <f>ROUND(C12*1936,0)</f>
        <v>20328</v>
      </c>
      <c r="G491" s="35">
        <v>100</v>
      </c>
      <c r="H491" s="17"/>
    </row>
    <row r="492" spans="2:8" s="1" customFormat="1" ht="13.5" customHeight="1" x14ac:dyDescent="0.15">
      <c r="B492" s="33"/>
      <c r="C492" s="7" t="s">
        <v>6</v>
      </c>
      <c r="D492" s="10">
        <v>4</v>
      </c>
      <c r="E492" s="8" t="s">
        <v>7</v>
      </c>
      <c r="F492" s="12">
        <f>ROUND(C12*530,0)</f>
        <v>5565</v>
      </c>
      <c r="G492" s="36"/>
      <c r="H492" s="17"/>
    </row>
    <row r="493" spans="2:8" s="1" customFormat="1" ht="14.25" thickBot="1" x14ac:dyDescent="0.2">
      <c r="B493" s="34"/>
      <c r="C493" s="18" t="s">
        <v>16</v>
      </c>
      <c r="D493" s="19" t="s">
        <v>216</v>
      </c>
      <c r="E493" s="20" t="s">
        <v>17</v>
      </c>
      <c r="F493" s="21" t="s">
        <v>418</v>
      </c>
      <c r="G493" s="22" t="s">
        <v>20</v>
      </c>
      <c r="H493" s="23" t="s">
        <v>37</v>
      </c>
    </row>
    <row r="494" spans="2:8" s="1" customFormat="1" x14ac:dyDescent="0.15">
      <c r="B494" s="13" t="s">
        <v>1</v>
      </c>
      <c r="C494" s="14" t="s">
        <v>0</v>
      </c>
      <c r="D494" s="29" t="s">
        <v>235</v>
      </c>
      <c r="E494" s="30"/>
      <c r="F494" s="31"/>
      <c r="G494" s="15" t="s">
        <v>57</v>
      </c>
      <c r="H494" s="16" t="s">
        <v>47</v>
      </c>
    </row>
    <row r="495" spans="2:8" s="1" customFormat="1" x14ac:dyDescent="0.15">
      <c r="B495" s="32">
        <v>200097</v>
      </c>
      <c r="C495" s="2" t="s">
        <v>2</v>
      </c>
      <c r="D495" s="9">
        <f>ROUND(C12*880,0)</f>
        <v>9240</v>
      </c>
      <c r="E495" s="3" t="s">
        <v>3</v>
      </c>
      <c r="F495" s="11">
        <f>ROUND(C12*476,0)</f>
        <v>4998</v>
      </c>
      <c r="G495" s="4" t="s">
        <v>8</v>
      </c>
      <c r="H495" s="17" t="s">
        <v>28</v>
      </c>
    </row>
    <row r="496" spans="2:8" s="1" customFormat="1" ht="13.5" customHeight="1" x14ac:dyDescent="0.15">
      <c r="B496" s="33"/>
      <c r="C496" s="5" t="s">
        <v>4</v>
      </c>
      <c r="D496" s="9">
        <f>ROUND(C12*680,0)</f>
        <v>7140</v>
      </c>
      <c r="E496" s="6" t="s">
        <v>5</v>
      </c>
      <c r="F496" s="11">
        <f>ROUND(C12*880,0)</f>
        <v>9240</v>
      </c>
      <c r="G496" s="35">
        <v>50</v>
      </c>
      <c r="H496" s="17"/>
    </row>
    <row r="497" spans="2:8" s="1" customFormat="1" ht="13.5" customHeight="1" x14ac:dyDescent="0.15">
      <c r="B497" s="33"/>
      <c r="C497" s="7" t="s">
        <v>6</v>
      </c>
      <c r="D497" s="10">
        <v>7</v>
      </c>
      <c r="E497" s="8" t="s">
        <v>7</v>
      </c>
      <c r="F497" s="12">
        <f>ROUND(C12*480,0)</f>
        <v>5040</v>
      </c>
      <c r="G497" s="36"/>
      <c r="H497" s="17"/>
    </row>
    <row r="498" spans="2:8" s="1" customFormat="1" ht="14.25" thickBot="1" x14ac:dyDescent="0.2">
      <c r="B498" s="34"/>
      <c r="C498" s="18" t="s">
        <v>16</v>
      </c>
      <c r="D498" s="19" t="s">
        <v>425</v>
      </c>
      <c r="E498" s="20" t="s">
        <v>17</v>
      </c>
      <c r="F498" s="21" t="s">
        <v>48</v>
      </c>
      <c r="G498" s="22" t="s">
        <v>20</v>
      </c>
      <c r="H498" s="23" t="s">
        <v>37</v>
      </c>
    </row>
    <row r="499" spans="2:8" s="1" customFormat="1" x14ac:dyDescent="0.15">
      <c r="B499" s="13" t="s">
        <v>1</v>
      </c>
      <c r="C499" s="14" t="s">
        <v>0</v>
      </c>
      <c r="D499" s="29" t="s">
        <v>236</v>
      </c>
      <c r="E499" s="30"/>
      <c r="F499" s="31"/>
      <c r="G499" s="15" t="s">
        <v>57</v>
      </c>
      <c r="H499" s="16" t="s">
        <v>55</v>
      </c>
    </row>
    <row r="500" spans="2:8" s="1" customFormat="1" x14ac:dyDescent="0.15">
      <c r="B500" s="32">
        <v>200098</v>
      </c>
      <c r="C500" s="2" t="s">
        <v>2</v>
      </c>
      <c r="D500" s="9">
        <f>ROUND(C12*880,0)</f>
        <v>9240</v>
      </c>
      <c r="E500" s="3" t="s">
        <v>3</v>
      </c>
      <c r="F500" s="11">
        <f>ROUND(C12*476,0)</f>
        <v>4998</v>
      </c>
      <c r="G500" s="4" t="s">
        <v>8</v>
      </c>
      <c r="H500" s="17" t="s">
        <v>30</v>
      </c>
    </row>
    <row r="501" spans="2:8" s="1" customFormat="1" ht="13.5" customHeight="1" x14ac:dyDescent="0.15">
      <c r="B501" s="33"/>
      <c r="C501" s="5" t="s">
        <v>4</v>
      </c>
      <c r="D501" s="9">
        <f>ROUND(C12*680,0)</f>
        <v>7140</v>
      </c>
      <c r="E501" s="6" t="s">
        <v>5</v>
      </c>
      <c r="F501" s="11">
        <f>ROUND(C12*880,0)</f>
        <v>9240</v>
      </c>
      <c r="G501" s="35">
        <v>100</v>
      </c>
      <c r="H501" s="17"/>
    </row>
    <row r="502" spans="2:8" s="1" customFormat="1" ht="13.5" customHeight="1" x14ac:dyDescent="0.15">
      <c r="B502" s="33"/>
      <c r="C502" s="7" t="s">
        <v>6</v>
      </c>
      <c r="D502" s="10">
        <v>7</v>
      </c>
      <c r="E502" s="8" t="s">
        <v>7</v>
      </c>
      <c r="F502" s="12">
        <f>ROUND(C12*480,0)</f>
        <v>5040</v>
      </c>
      <c r="G502" s="36"/>
      <c r="H502" s="17"/>
    </row>
    <row r="503" spans="2:8" s="1" customFormat="1" ht="14.25" thickBot="1" x14ac:dyDescent="0.2">
      <c r="B503" s="34"/>
      <c r="C503" s="18" t="s">
        <v>16</v>
      </c>
      <c r="D503" s="19" t="s">
        <v>371</v>
      </c>
      <c r="E503" s="20" t="s">
        <v>17</v>
      </c>
      <c r="F503" s="21" t="s">
        <v>49</v>
      </c>
      <c r="G503" s="22" t="s">
        <v>20</v>
      </c>
      <c r="H503" s="23" t="s">
        <v>37</v>
      </c>
    </row>
    <row r="504" spans="2:8" s="1" customFormat="1" x14ac:dyDescent="0.15">
      <c r="B504" s="13" t="s">
        <v>1</v>
      </c>
      <c r="C504" s="14" t="s">
        <v>0</v>
      </c>
      <c r="D504" s="29" t="s">
        <v>237</v>
      </c>
      <c r="E504" s="30"/>
      <c r="F504" s="31"/>
      <c r="G504" s="15" t="s">
        <v>57</v>
      </c>
      <c r="H504" s="16" t="s">
        <v>80</v>
      </c>
    </row>
    <row r="505" spans="2:8" s="1" customFormat="1" x14ac:dyDescent="0.15">
      <c r="B505" s="32">
        <v>200099</v>
      </c>
      <c r="C505" s="2" t="s">
        <v>2</v>
      </c>
      <c r="D505" s="9">
        <f>ROUND(C12*880,0)</f>
        <v>9240</v>
      </c>
      <c r="E505" s="3" t="s">
        <v>3</v>
      </c>
      <c r="F505" s="11">
        <f>ROUND(C12*980,0)</f>
        <v>10290</v>
      </c>
      <c r="G505" s="4" t="s">
        <v>8</v>
      </c>
      <c r="H505" s="17" t="s">
        <v>81</v>
      </c>
    </row>
    <row r="506" spans="2:8" s="1" customFormat="1" ht="13.5" customHeight="1" x14ac:dyDescent="0.15">
      <c r="B506" s="33"/>
      <c r="C506" s="5" t="s">
        <v>4</v>
      </c>
      <c r="D506" s="9">
        <f>ROUND(C12*680,0)</f>
        <v>7140</v>
      </c>
      <c r="E506" s="6" t="s">
        <v>5</v>
      </c>
      <c r="F506" s="11">
        <f>ROUND(C12*1936,0)</f>
        <v>20328</v>
      </c>
      <c r="G506" s="35">
        <v>100</v>
      </c>
      <c r="H506" s="17"/>
    </row>
    <row r="507" spans="2:8" s="1" customFormat="1" ht="13.5" customHeight="1" x14ac:dyDescent="0.15">
      <c r="B507" s="33"/>
      <c r="C507" s="7" t="s">
        <v>6</v>
      </c>
      <c r="D507" s="10">
        <v>4</v>
      </c>
      <c r="E507" s="8" t="s">
        <v>7</v>
      </c>
      <c r="F507" s="12">
        <f>ROUND(C12*530,0)</f>
        <v>5565</v>
      </c>
      <c r="G507" s="36"/>
      <c r="H507" s="17"/>
    </row>
    <row r="508" spans="2:8" s="1" customFormat="1" ht="14.25" thickBot="1" x14ac:dyDescent="0.2">
      <c r="B508" s="34"/>
      <c r="C508" s="18" t="s">
        <v>16</v>
      </c>
      <c r="D508" s="19" t="s">
        <v>426</v>
      </c>
      <c r="E508" s="20" t="s">
        <v>17</v>
      </c>
      <c r="F508" s="21" t="s">
        <v>392</v>
      </c>
      <c r="G508" s="22" t="s">
        <v>20</v>
      </c>
      <c r="H508" s="23" t="s">
        <v>37</v>
      </c>
    </row>
    <row r="509" spans="2:8" s="1" customFormat="1" x14ac:dyDescent="0.15">
      <c r="B509" s="13" t="s">
        <v>1</v>
      </c>
      <c r="C509" s="14" t="s">
        <v>0</v>
      </c>
      <c r="D509" s="29" t="s">
        <v>238</v>
      </c>
      <c r="E509" s="30"/>
      <c r="F509" s="31"/>
      <c r="G509" s="15" t="s">
        <v>57</v>
      </c>
      <c r="H509" s="16" t="s">
        <v>108</v>
      </c>
    </row>
    <row r="510" spans="2:8" s="1" customFormat="1" x14ac:dyDescent="0.15">
      <c r="B510" s="32">
        <v>200100</v>
      </c>
      <c r="C510" s="2" t="s">
        <v>2</v>
      </c>
      <c r="D510" s="9">
        <f>ROUND(C12*880,0)</f>
        <v>9240</v>
      </c>
      <c r="E510" s="3" t="s">
        <v>3</v>
      </c>
      <c r="F510" s="11">
        <f>ROUND(C12*476,0)</f>
        <v>4998</v>
      </c>
      <c r="G510" s="4" t="s">
        <v>8</v>
      </c>
      <c r="H510" s="17" t="s">
        <v>109</v>
      </c>
    </row>
    <row r="511" spans="2:8" s="1" customFormat="1" ht="13.5" customHeight="1" x14ac:dyDescent="0.15">
      <c r="B511" s="33"/>
      <c r="C511" s="5" t="s">
        <v>4</v>
      </c>
      <c r="D511" s="9">
        <f>ROUND(C12*680,0)</f>
        <v>7140</v>
      </c>
      <c r="E511" s="6" t="s">
        <v>5</v>
      </c>
      <c r="F511" s="11">
        <f>ROUND(C12*880,0)</f>
        <v>9240</v>
      </c>
      <c r="G511" s="35">
        <v>100</v>
      </c>
      <c r="H511" s="17"/>
    </row>
    <row r="512" spans="2:8" s="1" customFormat="1" ht="13.5" customHeight="1" x14ac:dyDescent="0.15">
      <c r="B512" s="33"/>
      <c r="C512" s="7" t="s">
        <v>6</v>
      </c>
      <c r="D512" s="10">
        <v>7</v>
      </c>
      <c r="E512" s="8" t="s">
        <v>7</v>
      </c>
      <c r="F512" s="12">
        <f>ROUND(C12*530,0)</f>
        <v>5565</v>
      </c>
      <c r="G512" s="36"/>
      <c r="H512" s="17"/>
    </row>
    <row r="513" spans="2:8" s="1" customFormat="1" ht="14.25" thickBot="1" x14ac:dyDescent="0.2">
      <c r="B513" s="34"/>
      <c r="C513" s="18" t="s">
        <v>16</v>
      </c>
      <c r="D513" s="19" t="s">
        <v>399</v>
      </c>
      <c r="E513" s="20" t="s">
        <v>17</v>
      </c>
      <c r="F513" s="21" t="s">
        <v>293</v>
      </c>
      <c r="G513" s="22" t="s">
        <v>20</v>
      </c>
      <c r="H513" s="23" t="s">
        <v>37</v>
      </c>
    </row>
    <row r="514" spans="2:8" s="1" customFormat="1" x14ac:dyDescent="0.15">
      <c r="B514" s="13" t="s">
        <v>1</v>
      </c>
      <c r="C514" s="14" t="s">
        <v>0</v>
      </c>
      <c r="D514" s="29" t="s">
        <v>239</v>
      </c>
      <c r="E514" s="30"/>
      <c r="F514" s="31"/>
      <c r="G514" s="15" t="s">
        <v>57</v>
      </c>
      <c r="H514" s="16" t="s">
        <v>116</v>
      </c>
    </row>
    <row r="515" spans="2:8" s="1" customFormat="1" x14ac:dyDescent="0.15">
      <c r="B515" s="32">
        <v>200101</v>
      </c>
      <c r="C515" s="2" t="s">
        <v>2</v>
      </c>
      <c r="D515" s="9">
        <f>ROUND(C12*880,0)</f>
        <v>9240</v>
      </c>
      <c r="E515" s="3" t="s">
        <v>3</v>
      </c>
      <c r="F515" s="11">
        <f>ROUND(C12*980,0)</f>
        <v>10290</v>
      </c>
      <c r="G515" s="4" t="s">
        <v>8</v>
      </c>
      <c r="H515" s="17" t="s">
        <v>117</v>
      </c>
    </row>
    <row r="516" spans="2:8" s="1" customFormat="1" ht="13.5" customHeight="1" x14ac:dyDescent="0.15">
      <c r="B516" s="33"/>
      <c r="C516" s="5" t="s">
        <v>4</v>
      </c>
      <c r="D516" s="9">
        <f>ROUND(C12*680,0)</f>
        <v>7140</v>
      </c>
      <c r="E516" s="6" t="s">
        <v>5</v>
      </c>
      <c r="F516" s="11">
        <f>ROUND(C12*1936,0)</f>
        <v>20328</v>
      </c>
      <c r="G516" s="35">
        <v>100</v>
      </c>
      <c r="H516" s="17"/>
    </row>
    <row r="517" spans="2:8" s="1" customFormat="1" ht="13.5" customHeight="1" x14ac:dyDescent="0.15">
      <c r="B517" s="33"/>
      <c r="C517" s="7" t="s">
        <v>6</v>
      </c>
      <c r="D517" s="10">
        <v>4</v>
      </c>
      <c r="E517" s="8" t="s">
        <v>7</v>
      </c>
      <c r="F517" s="12">
        <f>ROUND(C12*530,0)</f>
        <v>5565</v>
      </c>
      <c r="G517" s="36"/>
      <c r="H517" s="17"/>
    </row>
    <row r="518" spans="2:8" s="1" customFormat="1" ht="14.25" thickBot="1" x14ac:dyDescent="0.2">
      <c r="B518" s="34"/>
      <c r="C518" s="18" t="s">
        <v>16</v>
      </c>
      <c r="D518" s="19" t="s">
        <v>416</v>
      </c>
      <c r="E518" s="20" t="s">
        <v>17</v>
      </c>
      <c r="F518" s="21" t="s">
        <v>48</v>
      </c>
      <c r="G518" s="22" t="s">
        <v>20</v>
      </c>
      <c r="H518" s="23" t="s">
        <v>37</v>
      </c>
    </row>
    <row r="519" spans="2:8" s="1" customFormat="1" x14ac:dyDescent="0.15">
      <c r="B519" s="13" t="s">
        <v>1</v>
      </c>
      <c r="C519" s="14" t="s">
        <v>0</v>
      </c>
      <c r="D519" s="29" t="s">
        <v>240</v>
      </c>
      <c r="E519" s="30"/>
      <c r="F519" s="31"/>
      <c r="G519" s="15" t="s">
        <v>57</v>
      </c>
      <c r="H519" s="16" t="s">
        <v>53</v>
      </c>
    </row>
    <row r="520" spans="2:8" s="1" customFormat="1" x14ac:dyDescent="0.15">
      <c r="B520" s="32">
        <v>200102</v>
      </c>
      <c r="C520" s="2" t="s">
        <v>2</v>
      </c>
      <c r="D520" s="9">
        <f>ROUND(C12*880,0)</f>
        <v>9240</v>
      </c>
      <c r="E520" s="3" t="s">
        <v>3</v>
      </c>
      <c r="F520" s="11">
        <f>ROUND(C12*476,0)</f>
        <v>4998</v>
      </c>
      <c r="G520" s="4" t="s">
        <v>8</v>
      </c>
      <c r="H520" s="17" t="s">
        <v>394</v>
      </c>
    </row>
    <row r="521" spans="2:8" s="1" customFormat="1" ht="13.5" customHeight="1" x14ac:dyDescent="0.15">
      <c r="B521" s="33"/>
      <c r="C521" s="5" t="s">
        <v>4</v>
      </c>
      <c r="D521" s="9">
        <f>ROUND(C12*680,0)</f>
        <v>7140</v>
      </c>
      <c r="E521" s="6" t="s">
        <v>5</v>
      </c>
      <c r="F521" s="11">
        <f>ROUND(C12*880,0)</f>
        <v>9240</v>
      </c>
      <c r="G521" s="35">
        <v>30</v>
      </c>
      <c r="H521" s="17"/>
    </row>
    <row r="522" spans="2:8" s="1" customFormat="1" ht="13.5" customHeight="1" x14ac:dyDescent="0.15">
      <c r="B522" s="33"/>
      <c r="C522" s="7" t="s">
        <v>6</v>
      </c>
      <c r="D522" s="10">
        <v>7</v>
      </c>
      <c r="E522" s="8" t="s">
        <v>7</v>
      </c>
      <c r="F522" s="12">
        <f>ROUND(C12*480,0)</f>
        <v>5040</v>
      </c>
      <c r="G522" s="36"/>
      <c r="H522" s="17"/>
    </row>
    <row r="523" spans="2:8" s="1" customFormat="1" ht="14.25" thickBot="1" x14ac:dyDescent="0.2">
      <c r="B523" s="34"/>
      <c r="C523" s="18" t="s">
        <v>16</v>
      </c>
      <c r="D523" s="19" t="s">
        <v>42</v>
      </c>
      <c r="E523" s="20" t="s">
        <v>17</v>
      </c>
      <c r="F523" s="21" t="s">
        <v>52</v>
      </c>
      <c r="G523" s="22" t="s">
        <v>20</v>
      </c>
      <c r="H523" s="23" t="s">
        <v>34</v>
      </c>
    </row>
    <row r="524" spans="2:8" s="1" customFormat="1" x14ac:dyDescent="0.15">
      <c r="B524" s="13" t="s">
        <v>1</v>
      </c>
      <c r="C524" s="14" t="s">
        <v>0</v>
      </c>
      <c r="D524" s="29" t="s">
        <v>241</v>
      </c>
      <c r="E524" s="30"/>
      <c r="F524" s="31"/>
      <c r="G524" s="15" t="s">
        <v>57</v>
      </c>
      <c r="H524" s="16" t="s">
        <v>35</v>
      </c>
    </row>
    <row r="525" spans="2:8" s="1" customFormat="1" x14ac:dyDescent="0.15">
      <c r="B525" s="32">
        <v>200103</v>
      </c>
      <c r="C525" s="2" t="s">
        <v>2</v>
      </c>
      <c r="D525" s="9">
        <f>ROUND(C12*880,0)</f>
        <v>9240</v>
      </c>
      <c r="E525" s="3" t="s">
        <v>3</v>
      </c>
      <c r="F525" s="11">
        <f>ROUND(C12*476,0)</f>
        <v>4998</v>
      </c>
      <c r="G525" s="4" t="s">
        <v>8</v>
      </c>
      <c r="H525" s="17" t="s">
        <v>23</v>
      </c>
    </row>
    <row r="526" spans="2:8" s="1" customFormat="1" ht="13.5" customHeight="1" x14ac:dyDescent="0.15">
      <c r="B526" s="33"/>
      <c r="C526" s="5" t="s">
        <v>4</v>
      </c>
      <c r="D526" s="9">
        <f>ROUND(C12*680,0)</f>
        <v>7140</v>
      </c>
      <c r="E526" s="6" t="s">
        <v>5</v>
      </c>
      <c r="F526" s="11">
        <f>ROUND(C12*880,0)</f>
        <v>9240</v>
      </c>
      <c r="G526" s="35">
        <v>100</v>
      </c>
      <c r="H526" s="17"/>
    </row>
    <row r="527" spans="2:8" s="1" customFormat="1" ht="13.5" customHeight="1" x14ac:dyDescent="0.15">
      <c r="B527" s="33"/>
      <c r="C527" s="7" t="s">
        <v>6</v>
      </c>
      <c r="D527" s="10">
        <v>7</v>
      </c>
      <c r="E527" s="8" t="s">
        <v>7</v>
      </c>
      <c r="F527" s="12">
        <f>ROUND(C12*480,0)</f>
        <v>5040</v>
      </c>
      <c r="G527" s="36"/>
      <c r="H527" s="17"/>
    </row>
    <row r="528" spans="2:8" s="1" customFormat="1" ht="14.25" thickBot="1" x14ac:dyDescent="0.2">
      <c r="B528" s="34"/>
      <c r="C528" s="18" t="s">
        <v>16</v>
      </c>
      <c r="D528" s="19" t="s">
        <v>427</v>
      </c>
      <c r="E528" s="20" t="s">
        <v>17</v>
      </c>
      <c r="F528" s="21" t="s">
        <v>100</v>
      </c>
      <c r="G528" s="22" t="s">
        <v>20</v>
      </c>
      <c r="H528" s="23" t="s">
        <v>37</v>
      </c>
    </row>
    <row r="529" spans="2:8" s="1" customFormat="1" x14ac:dyDescent="0.15">
      <c r="B529" s="13" t="s">
        <v>1</v>
      </c>
      <c r="C529" s="14" t="s">
        <v>0</v>
      </c>
      <c r="D529" s="29" t="s">
        <v>242</v>
      </c>
      <c r="E529" s="30"/>
      <c r="F529" s="31"/>
      <c r="G529" s="15" t="s">
        <v>57</v>
      </c>
      <c r="H529" s="16" t="s">
        <v>41</v>
      </c>
    </row>
    <row r="530" spans="2:8" s="1" customFormat="1" x14ac:dyDescent="0.15">
      <c r="B530" s="32">
        <v>200104</v>
      </c>
      <c r="C530" s="2" t="s">
        <v>2</v>
      </c>
      <c r="D530" s="9">
        <f>ROUND(C12*880,0)</f>
        <v>9240</v>
      </c>
      <c r="E530" s="3" t="s">
        <v>3</v>
      </c>
      <c r="F530" s="11">
        <f>ROUND(C12*980,0)</f>
        <v>10290</v>
      </c>
      <c r="G530" s="4" t="s">
        <v>8</v>
      </c>
      <c r="H530" s="17" t="s">
        <v>25</v>
      </c>
    </row>
    <row r="531" spans="2:8" s="1" customFormat="1" ht="13.5" customHeight="1" x14ac:dyDescent="0.15">
      <c r="B531" s="33"/>
      <c r="C531" s="5" t="s">
        <v>4</v>
      </c>
      <c r="D531" s="9">
        <f>ROUND(C12*680,0)</f>
        <v>7140</v>
      </c>
      <c r="E531" s="6" t="s">
        <v>5</v>
      </c>
      <c r="F531" s="11">
        <f>ROUND(C12*1936,0)</f>
        <v>20328</v>
      </c>
      <c r="G531" s="35">
        <v>100</v>
      </c>
      <c r="H531" s="17"/>
    </row>
    <row r="532" spans="2:8" s="1" customFormat="1" ht="13.5" customHeight="1" x14ac:dyDescent="0.15">
      <c r="B532" s="33"/>
      <c r="C532" s="7" t="s">
        <v>6</v>
      </c>
      <c r="D532" s="10">
        <v>4</v>
      </c>
      <c r="E532" s="8" t="s">
        <v>7</v>
      </c>
      <c r="F532" s="12">
        <f>ROUND(C12*530,0)</f>
        <v>5565</v>
      </c>
      <c r="G532" s="36"/>
      <c r="H532" s="17"/>
    </row>
    <row r="533" spans="2:8" s="1" customFormat="1" ht="14.25" thickBot="1" x14ac:dyDescent="0.2">
      <c r="B533" s="34"/>
      <c r="C533" s="18" t="s">
        <v>16</v>
      </c>
      <c r="D533" s="19" t="s">
        <v>216</v>
      </c>
      <c r="E533" s="20" t="s">
        <v>17</v>
      </c>
      <c r="F533" s="21" t="s">
        <v>257</v>
      </c>
      <c r="G533" s="22" t="s">
        <v>20</v>
      </c>
      <c r="H533" s="23" t="s">
        <v>37</v>
      </c>
    </row>
    <row r="534" spans="2:8" s="1" customFormat="1" x14ac:dyDescent="0.15">
      <c r="B534" s="13" t="s">
        <v>1</v>
      </c>
      <c r="C534" s="14" t="s">
        <v>0</v>
      </c>
      <c r="D534" s="29" t="s">
        <v>245</v>
      </c>
      <c r="E534" s="30"/>
      <c r="F534" s="31"/>
      <c r="G534" s="15" t="s">
        <v>57</v>
      </c>
      <c r="H534" s="16" t="s">
        <v>128</v>
      </c>
    </row>
    <row r="535" spans="2:8" s="1" customFormat="1" x14ac:dyDescent="0.15">
      <c r="B535" s="32">
        <v>200105</v>
      </c>
      <c r="C535" s="2" t="s">
        <v>2</v>
      </c>
      <c r="D535" s="9">
        <f>ROUND(C12*880,0)</f>
        <v>9240</v>
      </c>
      <c r="E535" s="3" t="s">
        <v>3</v>
      </c>
      <c r="F535" s="11">
        <f>ROUND(C12*476,0)</f>
        <v>4998</v>
      </c>
      <c r="G535" s="4" t="s">
        <v>8</v>
      </c>
      <c r="H535" s="17" t="s">
        <v>129</v>
      </c>
    </row>
    <row r="536" spans="2:8" s="1" customFormat="1" ht="13.5" customHeight="1" x14ac:dyDescent="0.15">
      <c r="B536" s="33"/>
      <c r="C536" s="5" t="s">
        <v>4</v>
      </c>
      <c r="D536" s="9">
        <f>ROUND(C12*680,0)</f>
        <v>7140</v>
      </c>
      <c r="E536" s="6" t="s">
        <v>5</v>
      </c>
      <c r="F536" s="11">
        <f>ROUND(C12*880,0)</f>
        <v>9240</v>
      </c>
      <c r="G536" s="35">
        <v>100</v>
      </c>
      <c r="H536" s="17"/>
    </row>
    <row r="537" spans="2:8" s="1" customFormat="1" ht="13.5" customHeight="1" x14ac:dyDescent="0.15">
      <c r="B537" s="33"/>
      <c r="C537" s="7" t="s">
        <v>6</v>
      </c>
      <c r="D537" s="10">
        <v>7</v>
      </c>
      <c r="E537" s="8" t="s">
        <v>7</v>
      </c>
      <c r="F537" s="12">
        <f>ROUND(C12*530,0)</f>
        <v>5565</v>
      </c>
      <c r="G537" s="36"/>
      <c r="H537" s="17"/>
    </row>
    <row r="538" spans="2:8" s="1" customFormat="1" ht="14.25" thickBot="1" x14ac:dyDescent="0.2">
      <c r="B538" s="34"/>
      <c r="C538" s="18" t="s">
        <v>16</v>
      </c>
      <c r="D538" s="19" t="s">
        <v>428</v>
      </c>
      <c r="E538" s="20" t="s">
        <v>17</v>
      </c>
      <c r="F538" s="21" t="s">
        <v>36</v>
      </c>
      <c r="G538" s="22" t="s">
        <v>20</v>
      </c>
      <c r="H538" s="23" t="s">
        <v>37</v>
      </c>
    </row>
    <row r="539" spans="2:8" s="1" customFormat="1" x14ac:dyDescent="0.15">
      <c r="B539" s="13" t="s">
        <v>1</v>
      </c>
      <c r="C539" s="14" t="s">
        <v>0</v>
      </c>
      <c r="D539" s="29" t="s">
        <v>246</v>
      </c>
      <c r="E539" s="30"/>
      <c r="F539" s="31"/>
      <c r="G539" s="15" t="s">
        <v>57</v>
      </c>
      <c r="H539" s="16" t="s">
        <v>131</v>
      </c>
    </row>
    <row r="540" spans="2:8" s="1" customFormat="1" x14ac:dyDescent="0.15">
      <c r="B540" s="32">
        <v>200106</v>
      </c>
      <c r="C540" s="2" t="s">
        <v>2</v>
      </c>
      <c r="D540" s="9">
        <f>ROUND(C12*880,0)</f>
        <v>9240</v>
      </c>
      <c r="E540" s="3" t="s">
        <v>3</v>
      </c>
      <c r="F540" s="11">
        <f>ROUND(C12*980,0)</f>
        <v>10290</v>
      </c>
      <c r="G540" s="4" t="s">
        <v>8</v>
      </c>
      <c r="H540" s="17" t="s">
        <v>132</v>
      </c>
    </row>
    <row r="541" spans="2:8" s="1" customFormat="1" ht="13.5" customHeight="1" x14ac:dyDescent="0.15">
      <c r="B541" s="33"/>
      <c r="C541" s="5" t="s">
        <v>4</v>
      </c>
      <c r="D541" s="9">
        <f>ROUND(C12*680,0)</f>
        <v>7140</v>
      </c>
      <c r="E541" s="6" t="s">
        <v>5</v>
      </c>
      <c r="F541" s="11">
        <f>ROUND(C12*1936,0)</f>
        <v>20328</v>
      </c>
      <c r="G541" s="35">
        <v>100</v>
      </c>
      <c r="H541" s="17"/>
    </row>
    <row r="542" spans="2:8" s="1" customFormat="1" ht="13.5" customHeight="1" x14ac:dyDescent="0.15">
      <c r="B542" s="33"/>
      <c r="C542" s="7" t="s">
        <v>6</v>
      </c>
      <c r="D542" s="10">
        <v>4</v>
      </c>
      <c r="E542" s="8" t="s">
        <v>7</v>
      </c>
      <c r="F542" s="12">
        <f>ROUND(C12*530,0)</f>
        <v>5565</v>
      </c>
      <c r="G542" s="36"/>
      <c r="H542" s="17"/>
    </row>
    <row r="543" spans="2:8" s="1" customFormat="1" ht="14.25" thickBot="1" x14ac:dyDescent="0.2">
      <c r="B543" s="34"/>
      <c r="C543" s="18" t="s">
        <v>16</v>
      </c>
      <c r="D543" s="19" t="s">
        <v>402</v>
      </c>
      <c r="E543" s="20" t="s">
        <v>17</v>
      </c>
      <c r="F543" s="21" t="s">
        <v>85</v>
      </c>
      <c r="G543" s="22" t="s">
        <v>20</v>
      </c>
      <c r="H543" s="23" t="s">
        <v>37</v>
      </c>
    </row>
    <row r="544" spans="2:8" s="1" customFormat="1" x14ac:dyDescent="0.15">
      <c r="B544" s="13" t="s">
        <v>1</v>
      </c>
      <c r="C544" s="14" t="s">
        <v>0</v>
      </c>
      <c r="D544" s="29" t="s">
        <v>247</v>
      </c>
      <c r="E544" s="30"/>
      <c r="F544" s="31"/>
      <c r="G544" s="15" t="s">
        <v>57</v>
      </c>
      <c r="H544" s="16" t="s">
        <v>84</v>
      </c>
    </row>
    <row r="545" spans="2:8" s="1" customFormat="1" x14ac:dyDescent="0.15">
      <c r="B545" s="32">
        <v>200107</v>
      </c>
      <c r="C545" s="2" t="s">
        <v>2</v>
      </c>
      <c r="D545" s="9">
        <f>ROUND(C12*880,0)</f>
        <v>9240</v>
      </c>
      <c r="E545" s="3" t="s">
        <v>3</v>
      </c>
      <c r="F545" s="11">
        <f>ROUND(C12*476,0)</f>
        <v>4998</v>
      </c>
      <c r="G545" s="4" t="s">
        <v>8</v>
      </c>
      <c r="H545" s="17" t="s">
        <v>398</v>
      </c>
    </row>
    <row r="546" spans="2:8" s="1" customFormat="1" ht="13.5" customHeight="1" x14ac:dyDescent="0.15">
      <c r="B546" s="33"/>
      <c r="C546" s="5" t="s">
        <v>4</v>
      </c>
      <c r="D546" s="9">
        <f>ROUND(C12*680,0)</f>
        <v>7140</v>
      </c>
      <c r="E546" s="6" t="s">
        <v>5</v>
      </c>
      <c r="F546" s="11">
        <f>ROUND(C12*880,0)</f>
        <v>9240</v>
      </c>
      <c r="G546" s="35">
        <v>50</v>
      </c>
      <c r="H546" s="17"/>
    </row>
    <row r="547" spans="2:8" s="1" customFormat="1" ht="13.5" customHeight="1" x14ac:dyDescent="0.15">
      <c r="B547" s="33"/>
      <c r="C547" s="7" t="s">
        <v>6</v>
      </c>
      <c r="D547" s="10">
        <v>7</v>
      </c>
      <c r="E547" s="8" t="s">
        <v>7</v>
      </c>
      <c r="F547" s="12">
        <f>ROUND(C12*480,0)</f>
        <v>5040</v>
      </c>
      <c r="G547" s="36"/>
      <c r="H547" s="17"/>
    </row>
    <row r="548" spans="2:8" s="1" customFormat="1" ht="14.25" thickBot="1" x14ac:dyDescent="0.2">
      <c r="B548" s="34"/>
      <c r="C548" s="18" t="s">
        <v>16</v>
      </c>
      <c r="D548" s="19" t="s">
        <v>391</v>
      </c>
      <c r="E548" s="20" t="s">
        <v>17</v>
      </c>
      <c r="F548" s="21" t="s">
        <v>49</v>
      </c>
      <c r="G548" s="22" t="s">
        <v>20</v>
      </c>
      <c r="H548" s="23" t="s">
        <v>121</v>
      </c>
    </row>
    <row r="549" spans="2:8" s="1" customFormat="1" x14ac:dyDescent="0.15">
      <c r="B549" s="13" t="s">
        <v>1</v>
      </c>
      <c r="C549" s="14" t="s">
        <v>0</v>
      </c>
      <c r="D549" s="29" t="s">
        <v>248</v>
      </c>
      <c r="E549" s="30"/>
      <c r="F549" s="31"/>
      <c r="G549" s="15" t="s">
        <v>57</v>
      </c>
      <c r="H549" s="16" t="s">
        <v>55</v>
      </c>
    </row>
    <row r="550" spans="2:8" s="1" customFormat="1" x14ac:dyDescent="0.15">
      <c r="B550" s="32">
        <v>200108</v>
      </c>
      <c r="C550" s="2" t="s">
        <v>2</v>
      </c>
      <c r="D550" s="9">
        <f>ROUND(C12*880,0)</f>
        <v>9240</v>
      </c>
      <c r="E550" s="3" t="s">
        <v>3</v>
      </c>
      <c r="F550" s="11">
        <f>ROUND(C12*476,0)</f>
        <v>4998</v>
      </c>
      <c r="G550" s="4" t="s">
        <v>8</v>
      </c>
      <c r="H550" s="17" t="s">
        <v>30</v>
      </c>
    </row>
    <row r="551" spans="2:8" s="1" customFormat="1" ht="13.5" customHeight="1" x14ac:dyDescent="0.15">
      <c r="B551" s="33"/>
      <c r="C551" s="5" t="s">
        <v>4</v>
      </c>
      <c r="D551" s="9">
        <f>ROUND(C12*680,0)</f>
        <v>7140</v>
      </c>
      <c r="E551" s="6" t="s">
        <v>5</v>
      </c>
      <c r="F551" s="11">
        <f>ROUND(C12*880,0)</f>
        <v>9240</v>
      </c>
      <c r="G551" s="35">
        <v>100</v>
      </c>
      <c r="H551" s="17"/>
    </row>
    <row r="552" spans="2:8" s="1" customFormat="1" ht="13.5" customHeight="1" x14ac:dyDescent="0.15">
      <c r="B552" s="33"/>
      <c r="C552" s="7" t="s">
        <v>6</v>
      </c>
      <c r="D552" s="10">
        <v>7</v>
      </c>
      <c r="E552" s="8" t="s">
        <v>7</v>
      </c>
      <c r="F552" s="12">
        <f>ROUND(C12*480,0)</f>
        <v>5040</v>
      </c>
      <c r="G552" s="36"/>
      <c r="H552" s="17"/>
    </row>
    <row r="553" spans="2:8" s="1" customFormat="1" ht="14.25" thickBot="1" x14ac:dyDescent="0.2">
      <c r="B553" s="34"/>
      <c r="C553" s="18" t="s">
        <v>16</v>
      </c>
      <c r="D553" s="19" t="s">
        <v>428</v>
      </c>
      <c r="E553" s="20" t="s">
        <v>17</v>
      </c>
      <c r="F553" s="21" t="s">
        <v>36</v>
      </c>
      <c r="G553" s="22" t="s">
        <v>20</v>
      </c>
      <c r="H553" s="23" t="s">
        <v>37</v>
      </c>
    </row>
    <row r="554" spans="2:8" s="1" customFormat="1" x14ac:dyDescent="0.15">
      <c r="B554" s="13" t="s">
        <v>1</v>
      </c>
      <c r="C554" s="14" t="s">
        <v>0</v>
      </c>
      <c r="D554" s="29" t="s">
        <v>249</v>
      </c>
      <c r="E554" s="30"/>
      <c r="F554" s="31"/>
      <c r="G554" s="15" t="s">
        <v>57</v>
      </c>
      <c r="H554" s="16" t="s">
        <v>80</v>
      </c>
    </row>
    <row r="555" spans="2:8" s="1" customFormat="1" x14ac:dyDescent="0.15">
      <c r="B555" s="32">
        <v>200109</v>
      </c>
      <c r="C555" s="2" t="s">
        <v>2</v>
      </c>
      <c r="D555" s="9">
        <f>ROUND(C12*880,0)</f>
        <v>9240</v>
      </c>
      <c r="E555" s="3" t="s">
        <v>3</v>
      </c>
      <c r="F555" s="11">
        <f>ROUND(C12*980,0)</f>
        <v>10290</v>
      </c>
      <c r="G555" s="4" t="s">
        <v>8</v>
      </c>
      <c r="H555" s="17" t="s">
        <v>81</v>
      </c>
    </row>
    <row r="556" spans="2:8" s="1" customFormat="1" ht="13.5" customHeight="1" x14ac:dyDescent="0.15">
      <c r="B556" s="33"/>
      <c r="C556" s="5" t="s">
        <v>4</v>
      </c>
      <c r="D556" s="9">
        <f>ROUND(C12*680,0)</f>
        <v>7140</v>
      </c>
      <c r="E556" s="6" t="s">
        <v>5</v>
      </c>
      <c r="F556" s="11">
        <f>ROUND(C12*1936,0)</f>
        <v>20328</v>
      </c>
      <c r="G556" s="35">
        <v>100</v>
      </c>
      <c r="H556" s="17"/>
    </row>
    <row r="557" spans="2:8" s="1" customFormat="1" ht="13.5" customHeight="1" x14ac:dyDescent="0.15">
      <c r="B557" s="33"/>
      <c r="C557" s="7" t="s">
        <v>6</v>
      </c>
      <c r="D557" s="10">
        <v>4</v>
      </c>
      <c r="E557" s="8" t="s">
        <v>7</v>
      </c>
      <c r="F557" s="12">
        <f>ROUND(C12*530,0)</f>
        <v>5565</v>
      </c>
      <c r="G557" s="36"/>
      <c r="H557" s="17"/>
    </row>
    <row r="558" spans="2:8" s="1" customFormat="1" ht="14.25" thickBot="1" x14ac:dyDescent="0.2">
      <c r="B558" s="34"/>
      <c r="C558" s="18" t="s">
        <v>16</v>
      </c>
      <c r="D558" s="19" t="s">
        <v>429</v>
      </c>
      <c r="E558" s="20" t="s">
        <v>17</v>
      </c>
      <c r="F558" s="21" t="s">
        <v>396</v>
      </c>
      <c r="G558" s="22" t="s">
        <v>20</v>
      </c>
      <c r="H558" s="23" t="s">
        <v>37</v>
      </c>
    </row>
    <row r="559" spans="2:8" s="1" customFormat="1" x14ac:dyDescent="0.15">
      <c r="B559" s="13" t="s">
        <v>1</v>
      </c>
      <c r="C559" s="14" t="s">
        <v>0</v>
      </c>
      <c r="D559" s="29" t="s">
        <v>250</v>
      </c>
      <c r="E559" s="30"/>
      <c r="F559" s="31"/>
      <c r="G559" s="15" t="s">
        <v>57</v>
      </c>
      <c r="H559" s="16" t="s">
        <v>146</v>
      </c>
    </row>
    <row r="560" spans="2:8" s="1" customFormat="1" x14ac:dyDescent="0.15">
      <c r="B560" s="32">
        <v>200110</v>
      </c>
      <c r="C560" s="2" t="s">
        <v>2</v>
      </c>
      <c r="D560" s="9">
        <f>ROUND(C12*880,0)</f>
        <v>9240</v>
      </c>
      <c r="E560" s="3" t="s">
        <v>3</v>
      </c>
      <c r="F560" s="11">
        <f>ROUND(C12*476,0)</f>
        <v>4998</v>
      </c>
      <c r="G560" s="4" t="s">
        <v>8</v>
      </c>
      <c r="H560" s="17" t="s">
        <v>147</v>
      </c>
    </row>
    <row r="561" spans="2:8" s="1" customFormat="1" ht="13.5" customHeight="1" x14ac:dyDescent="0.15">
      <c r="B561" s="33"/>
      <c r="C561" s="5" t="s">
        <v>4</v>
      </c>
      <c r="D561" s="9">
        <f>ROUND(C12*680,0)</f>
        <v>7140</v>
      </c>
      <c r="E561" s="6" t="s">
        <v>5</v>
      </c>
      <c r="F561" s="11">
        <f>ROUND(C12*880,0)</f>
        <v>9240</v>
      </c>
      <c r="G561" s="35">
        <v>100</v>
      </c>
      <c r="H561" s="17"/>
    </row>
    <row r="562" spans="2:8" s="1" customFormat="1" ht="13.5" customHeight="1" x14ac:dyDescent="0.15">
      <c r="B562" s="33"/>
      <c r="C562" s="7" t="s">
        <v>6</v>
      </c>
      <c r="D562" s="10">
        <v>7</v>
      </c>
      <c r="E562" s="8" t="s">
        <v>7</v>
      </c>
      <c r="F562" s="12">
        <f>ROUND(C12*530,0)</f>
        <v>5565</v>
      </c>
      <c r="G562" s="36"/>
      <c r="H562" s="17"/>
    </row>
    <row r="563" spans="2:8" s="1" customFormat="1" ht="14.25" thickBot="1" x14ac:dyDescent="0.2">
      <c r="B563" s="34"/>
      <c r="C563" s="18" t="s">
        <v>16</v>
      </c>
      <c r="D563" s="19" t="s">
        <v>414</v>
      </c>
      <c r="E563" s="20" t="s">
        <v>17</v>
      </c>
      <c r="F563" s="21" t="s">
        <v>430</v>
      </c>
      <c r="G563" s="22" t="s">
        <v>20</v>
      </c>
      <c r="H563" s="23" t="s">
        <v>37</v>
      </c>
    </row>
    <row r="564" spans="2:8" s="1" customFormat="1" x14ac:dyDescent="0.15">
      <c r="B564" s="13" t="s">
        <v>1</v>
      </c>
      <c r="C564" s="14" t="s">
        <v>0</v>
      </c>
      <c r="D564" s="29" t="s">
        <v>251</v>
      </c>
      <c r="E564" s="30"/>
      <c r="F564" s="31"/>
      <c r="G564" s="15" t="s">
        <v>57</v>
      </c>
      <c r="H564" s="16" t="s">
        <v>44</v>
      </c>
    </row>
    <row r="565" spans="2:8" s="1" customFormat="1" x14ac:dyDescent="0.15">
      <c r="B565" s="32">
        <v>200111</v>
      </c>
      <c r="C565" s="2" t="s">
        <v>2</v>
      </c>
      <c r="D565" s="9">
        <f>ROUND(C12*880,0)</f>
        <v>9240</v>
      </c>
      <c r="E565" s="3" t="s">
        <v>3</v>
      </c>
      <c r="F565" s="11">
        <f>ROUND(C12*980,0)</f>
        <v>10290</v>
      </c>
      <c r="G565" s="4" t="s">
        <v>8</v>
      </c>
      <c r="H565" s="17" t="s">
        <v>26</v>
      </c>
    </row>
    <row r="566" spans="2:8" s="1" customFormat="1" ht="13.5" customHeight="1" x14ac:dyDescent="0.15">
      <c r="B566" s="33"/>
      <c r="C566" s="5" t="s">
        <v>4</v>
      </c>
      <c r="D566" s="9">
        <f>ROUND(C12*680,0)</f>
        <v>7140</v>
      </c>
      <c r="E566" s="6" t="s">
        <v>5</v>
      </c>
      <c r="F566" s="11">
        <f>ROUND(C12*1936,0)</f>
        <v>20328</v>
      </c>
      <c r="G566" s="35">
        <v>100</v>
      </c>
      <c r="H566" s="17"/>
    </row>
    <row r="567" spans="2:8" s="1" customFormat="1" ht="13.5" customHeight="1" x14ac:dyDescent="0.15">
      <c r="B567" s="33"/>
      <c r="C567" s="7" t="s">
        <v>6</v>
      </c>
      <c r="D567" s="10">
        <v>4</v>
      </c>
      <c r="E567" s="8" t="s">
        <v>7</v>
      </c>
      <c r="F567" s="12">
        <f>ROUND(C12*530,0)</f>
        <v>5565</v>
      </c>
      <c r="G567" s="36"/>
      <c r="H567" s="17"/>
    </row>
    <row r="568" spans="2:8" s="1" customFormat="1" ht="14.25" thickBot="1" x14ac:dyDescent="0.2">
      <c r="B568" s="34"/>
      <c r="C568" s="18" t="s">
        <v>16</v>
      </c>
      <c r="D568" s="19" t="s">
        <v>380</v>
      </c>
      <c r="E568" s="20" t="s">
        <v>17</v>
      </c>
      <c r="F568" s="21" t="s">
        <v>392</v>
      </c>
      <c r="G568" s="22" t="s">
        <v>20</v>
      </c>
      <c r="H568" s="23" t="s">
        <v>37</v>
      </c>
    </row>
    <row r="569" spans="2:8" s="1" customFormat="1" x14ac:dyDescent="0.15">
      <c r="B569" s="13" t="s">
        <v>1</v>
      </c>
      <c r="C569" s="14" t="s">
        <v>0</v>
      </c>
      <c r="D569" s="29" t="s">
        <v>252</v>
      </c>
      <c r="E569" s="30"/>
      <c r="F569" s="31"/>
      <c r="G569" s="15" t="s">
        <v>57</v>
      </c>
      <c r="H569" s="16" t="s">
        <v>88</v>
      </c>
    </row>
    <row r="570" spans="2:8" s="1" customFormat="1" x14ac:dyDescent="0.15">
      <c r="B570" s="32">
        <v>200112</v>
      </c>
      <c r="C570" s="2" t="s">
        <v>2</v>
      </c>
      <c r="D570" s="9">
        <f>ROUND(C12*880,0)</f>
        <v>9240</v>
      </c>
      <c r="E570" s="3" t="s">
        <v>3</v>
      </c>
      <c r="F570" s="11">
        <f>ROUND(C12*476,0)</f>
        <v>4998</v>
      </c>
      <c r="G570" s="4" t="s">
        <v>8</v>
      </c>
      <c r="H570" s="17" t="s">
        <v>89</v>
      </c>
    </row>
    <row r="571" spans="2:8" s="1" customFormat="1" ht="13.5" customHeight="1" x14ac:dyDescent="0.15">
      <c r="B571" s="33"/>
      <c r="C571" s="5" t="s">
        <v>4</v>
      </c>
      <c r="D571" s="9">
        <f>ROUND(C12*680,0)</f>
        <v>7140</v>
      </c>
      <c r="E571" s="6" t="s">
        <v>5</v>
      </c>
      <c r="F571" s="11">
        <f>ROUND(C12*880,0)</f>
        <v>9240</v>
      </c>
      <c r="G571" s="35">
        <v>50</v>
      </c>
      <c r="H571" s="17"/>
    </row>
    <row r="572" spans="2:8" s="1" customFormat="1" ht="13.5" customHeight="1" x14ac:dyDescent="0.15">
      <c r="B572" s="33"/>
      <c r="C572" s="7" t="s">
        <v>6</v>
      </c>
      <c r="D572" s="10">
        <v>7</v>
      </c>
      <c r="E572" s="8" t="s">
        <v>7</v>
      </c>
      <c r="F572" s="12">
        <f>ROUND(C12*480,0)</f>
        <v>5040</v>
      </c>
      <c r="G572" s="36"/>
      <c r="H572" s="17"/>
    </row>
    <row r="573" spans="2:8" s="1" customFormat="1" ht="14.25" thickBot="1" x14ac:dyDescent="0.2">
      <c r="B573" s="34"/>
      <c r="C573" s="18" t="s">
        <v>16</v>
      </c>
      <c r="D573" s="19" t="s">
        <v>355</v>
      </c>
      <c r="E573" s="20" t="s">
        <v>17</v>
      </c>
      <c r="F573" s="21" t="s">
        <v>293</v>
      </c>
      <c r="G573" s="22" t="s">
        <v>20</v>
      </c>
      <c r="H573" s="23" t="s">
        <v>37</v>
      </c>
    </row>
    <row r="574" spans="2:8" s="1" customFormat="1" x14ac:dyDescent="0.15">
      <c r="B574" s="13" t="s">
        <v>1</v>
      </c>
      <c r="C574" s="14" t="s">
        <v>0</v>
      </c>
      <c r="D574" s="29" t="s">
        <v>253</v>
      </c>
      <c r="E574" s="30"/>
      <c r="F574" s="31"/>
      <c r="G574" s="15" t="s">
        <v>57</v>
      </c>
      <c r="H574" s="16" t="s">
        <v>35</v>
      </c>
    </row>
    <row r="575" spans="2:8" s="1" customFormat="1" x14ac:dyDescent="0.15">
      <c r="B575" s="32">
        <v>200113</v>
      </c>
      <c r="C575" s="2" t="s">
        <v>2</v>
      </c>
      <c r="D575" s="9">
        <f>ROUND(C12*880,0)</f>
        <v>9240</v>
      </c>
      <c r="E575" s="3" t="s">
        <v>3</v>
      </c>
      <c r="F575" s="11">
        <f>ROUND(C12*476,0)</f>
        <v>4998</v>
      </c>
      <c r="G575" s="4" t="s">
        <v>8</v>
      </c>
      <c r="H575" s="17" t="s">
        <v>23</v>
      </c>
    </row>
    <row r="576" spans="2:8" s="1" customFormat="1" ht="13.5" customHeight="1" x14ac:dyDescent="0.15">
      <c r="B576" s="33"/>
      <c r="C576" s="5" t="s">
        <v>4</v>
      </c>
      <c r="D576" s="9">
        <f>ROUND(C12*680,0)</f>
        <v>7140</v>
      </c>
      <c r="E576" s="6" t="s">
        <v>5</v>
      </c>
      <c r="F576" s="11">
        <f>ROUND(C12*880,0)</f>
        <v>9240</v>
      </c>
      <c r="G576" s="35">
        <v>100</v>
      </c>
      <c r="H576" s="17"/>
    </row>
    <row r="577" spans="2:8" s="1" customFormat="1" ht="13.5" customHeight="1" x14ac:dyDescent="0.15">
      <c r="B577" s="33"/>
      <c r="C577" s="7" t="s">
        <v>6</v>
      </c>
      <c r="D577" s="10">
        <v>7</v>
      </c>
      <c r="E577" s="8" t="s">
        <v>7</v>
      </c>
      <c r="F577" s="12">
        <f>ROUND(C12*480,0)</f>
        <v>5040</v>
      </c>
      <c r="G577" s="36"/>
      <c r="H577" s="17"/>
    </row>
    <row r="578" spans="2:8" s="1" customFormat="1" ht="14.25" thickBot="1" x14ac:dyDescent="0.2">
      <c r="B578" s="34"/>
      <c r="C578" s="18" t="s">
        <v>16</v>
      </c>
      <c r="D578" s="19" t="s">
        <v>411</v>
      </c>
      <c r="E578" s="20" t="s">
        <v>17</v>
      </c>
      <c r="F578" s="21" t="s">
        <v>100</v>
      </c>
      <c r="G578" s="22" t="s">
        <v>20</v>
      </c>
      <c r="H578" s="23" t="s">
        <v>37</v>
      </c>
    </row>
    <row r="579" spans="2:8" s="1" customFormat="1" x14ac:dyDescent="0.15">
      <c r="B579" s="13" t="s">
        <v>1</v>
      </c>
      <c r="C579" s="14" t="s">
        <v>0</v>
      </c>
      <c r="D579" s="29" t="s">
        <v>254</v>
      </c>
      <c r="E579" s="30"/>
      <c r="F579" s="31"/>
      <c r="G579" s="15" t="s">
        <v>57</v>
      </c>
      <c r="H579" s="16" t="s">
        <v>41</v>
      </c>
    </row>
    <row r="580" spans="2:8" s="1" customFormat="1" x14ac:dyDescent="0.15">
      <c r="B580" s="32">
        <v>200114</v>
      </c>
      <c r="C580" s="2" t="s">
        <v>2</v>
      </c>
      <c r="D580" s="9">
        <f>ROUND(C12*880,0)</f>
        <v>9240</v>
      </c>
      <c r="E580" s="3" t="s">
        <v>3</v>
      </c>
      <c r="F580" s="11">
        <f>ROUND(C12*980,0)</f>
        <v>10290</v>
      </c>
      <c r="G580" s="4" t="s">
        <v>8</v>
      </c>
      <c r="H580" s="17" t="s">
        <v>25</v>
      </c>
    </row>
    <row r="581" spans="2:8" s="1" customFormat="1" ht="13.5" customHeight="1" x14ac:dyDescent="0.15">
      <c r="B581" s="33"/>
      <c r="C581" s="5" t="s">
        <v>4</v>
      </c>
      <c r="D581" s="9">
        <f>ROUND(C12*680,0)</f>
        <v>7140</v>
      </c>
      <c r="E581" s="6" t="s">
        <v>5</v>
      </c>
      <c r="F581" s="11">
        <f>ROUND(C12*1936,0)</f>
        <v>20328</v>
      </c>
      <c r="G581" s="35">
        <v>100</v>
      </c>
      <c r="H581" s="17"/>
    </row>
    <row r="582" spans="2:8" s="1" customFormat="1" ht="13.5" customHeight="1" x14ac:dyDescent="0.15">
      <c r="B582" s="33"/>
      <c r="C582" s="7" t="s">
        <v>6</v>
      </c>
      <c r="D582" s="10">
        <v>4</v>
      </c>
      <c r="E582" s="8" t="s">
        <v>7</v>
      </c>
      <c r="F582" s="12">
        <f>ROUND(C12*530,0)</f>
        <v>5565</v>
      </c>
      <c r="G582" s="36"/>
      <c r="H582" s="17"/>
    </row>
    <row r="583" spans="2:8" s="1" customFormat="1" ht="14.25" thickBot="1" x14ac:dyDescent="0.2">
      <c r="B583" s="34"/>
      <c r="C583" s="18" t="s">
        <v>16</v>
      </c>
      <c r="D583" s="19" t="s">
        <v>419</v>
      </c>
      <c r="E583" s="20" t="s">
        <v>17</v>
      </c>
      <c r="F583" s="21" t="s">
        <v>32</v>
      </c>
      <c r="G583" s="22" t="s">
        <v>20</v>
      </c>
      <c r="H583" s="23" t="s">
        <v>37</v>
      </c>
    </row>
    <row r="584" spans="2:8" s="1" customFormat="1" x14ac:dyDescent="0.15">
      <c r="B584" s="13" t="s">
        <v>1</v>
      </c>
      <c r="C584" s="14" t="s">
        <v>0</v>
      </c>
      <c r="D584" s="29" t="s">
        <v>255</v>
      </c>
      <c r="E584" s="30"/>
      <c r="F584" s="31"/>
      <c r="G584" s="15" t="s">
        <v>57</v>
      </c>
      <c r="H584" s="16" t="s">
        <v>74</v>
      </c>
    </row>
    <row r="585" spans="2:8" s="1" customFormat="1" x14ac:dyDescent="0.15">
      <c r="B585" s="32">
        <v>200115</v>
      </c>
      <c r="C585" s="2" t="s">
        <v>2</v>
      </c>
      <c r="D585" s="9">
        <f>ROUND(C12*880,0)</f>
        <v>9240</v>
      </c>
      <c r="E585" s="3" t="s">
        <v>3</v>
      </c>
      <c r="F585" s="11">
        <f>ROUND(C12*980,0)</f>
        <v>10290</v>
      </c>
      <c r="G585" s="4" t="s">
        <v>8</v>
      </c>
      <c r="H585" s="17" t="s">
        <v>75</v>
      </c>
    </row>
    <row r="586" spans="2:8" s="1" customFormat="1" ht="13.5" customHeight="1" x14ac:dyDescent="0.15">
      <c r="B586" s="33"/>
      <c r="C586" s="5" t="s">
        <v>4</v>
      </c>
      <c r="D586" s="9">
        <f>ROUND(C12*680,0)</f>
        <v>7140</v>
      </c>
      <c r="E586" s="6" t="s">
        <v>5</v>
      </c>
      <c r="F586" s="11">
        <f>ROUND(C12*1936,0)</f>
        <v>20328</v>
      </c>
      <c r="G586" s="35">
        <v>100</v>
      </c>
      <c r="H586" s="17"/>
    </row>
    <row r="587" spans="2:8" s="1" customFormat="1" ht="13.5" customHeight="1" x14ac:dyDescent="0.15">
      <c r="B587" s="33"/>
      <c r="C587" s="7" t="s">
        <v>6</v>
      </c>
      <c r="D587" s="10">
        <v>4</v>
      </c>
      <c r="E587" s="8" t="s">
        <v>7</v>
      </c>
      <c r="F587" s="12">
        <f>ROUND(C12*530,0)</f>
        <v>5565</v>
      </c>
      <c r="G587" s="36"/>
      <c r="H587" s="17"/>
    </row>
    <row r="588" spans="2:8" s="1" customFormat="1" ht="14.25" thickBot="1" x14ac:dyDescent="0.2">
      <c r="B588" s="34"/>
      <c r="C588" s="18" t="s">
        <v>16</v>
      </c>
      <c r="D588" s="19" t="s">
        <v>415</v>
      </c>
      <c r="E588" s="20" t="s">
        <v>17</v>
      </c>
      <c r="F588" s="21" t="s">
        <v>48</v>
      </c>
      <c r="G588" s="22" t="s">
        <v>20</v>
      </c>
      <c r="H588" s="23" t="s">
        <v>37</v>
      </c>
    </row>
    <row r="589" spans="2:8" s="1" customFormat="1" x14ac:dyDescent="0.15">
      <c r="B589" s="13" t="s">
        <v>1</v>
      </c>
      <c r="C589" s="14" t="s">
        <v>0</v>
      </c>
      <c r="D589" s="29" t="s">
        <v>256</v>
      </c>
      <c r="E589" s="30"/>
      <c r="F589" s="31"/>
      <c r="G589" s="15" t="s">
        <v>57</v>
      </c>
      <c r="H589" s="16" t="s">
        <v>55</v>
      </c>
    </row>
    <row r="590" spans="2:8" s="1" customFormat="1" x14ac:dyDescent="0.15">
      <c r="B590" s="32">
        <v>200116</v>
      </c>
      <c r="C590" s="2" t="s">
        <v>2</v>
      </c>
      <c r="D590" s="9">
        <f>ROUND(C12*880,0)</f>
        <v>9240</v>
      </c>
      <c r="E590" s="3" t="s">
        <v>3</v>
      </c>
      <c r="F590" s="11">
        <f>ROUND(C12*476,0)</f>
        <v>4998</v>
      </c>
      <c r="G590" s="4" t="s">
        <v>8</v>
      </c>
      <c r="H590" s="17" t="s">
        <v>30</v>
      </c>
    </row>
    <row r="591" spans="2:8" s="1" customFormat="1" ht="13.5" customHeight="1" x14ac:dyDescent="0.15">
      <c r="B591" s="33"/>
      <c r="C591" s="5" t="s">
        <v>4</v>
      </c>
      <c r="D591" s="9">
        <f>ROUND(C12*680,0)</f>
        <v>7140</v>
      </c>
      <c r="E591" s="6" t="s">
        <v>5</v>
      </c>
      <c r="F591" s="11">
        <f>ROUND(C12*880,0)</f>
        <v>9240</v>
      </c>
      <c r="G591" s="35">
        <v>100</v>
      </c>
      <c r="H591" s="17"/>
    </row>
    <row r="592" spans="2:8" s="1" customFormat="1" ht="13.5" customHeight="1" x14ac:dyDescent="0.15">
      <c r="B592" s="33"/>
      <c r="C592" s="7" t="s">
        <v>6</v>
      </c>
      <c r="D592" s="10">
        <v>7</v>
      </c>
      <c r="E592" s="8" t="s">
        <v>7</v>
      </c>
      <c r="F592" s="12">
        <f>ROUND(C12*480,0)</f>
        <v>5040</v>
      </c>
      <c r="G592" s="36"/>
      <c r="H592" s="17"/>
    </row>
    <row r="593" spans="2:8" s="1" customFormat="1" ht="14.25" thickBot="1" x14ac:dyDescent="0.2">
      <c r="B593" s="34"/>
      <c r="C593" s="18" t="s">
        <v>16</v>
      </c>
      <c r="D593" s="19" t="s">
        <v>407</v>
      </c>
      <c r="E593" s="20" t="s">
        <v>17</v>
      </c>
      <c r="F593" s="21" t="s">
        <v>396</v>
      </c>
      <c r="G593" s="22" t="s">
        <v>20</v>
      </c>
      <c r="H593" s="23" t="s">
        <v>37</v>
      </c>
    </row>
    <row r="594" spans="2:8" s="1" customFormat="1" x14ac:dyDescent="0.15">
      <c r="B594" s="13" t="s">
        <v>1</v>
      </c>
      <c r="C594" s="14" t="s">
        <v>0</v>
      </c>
      <c r="D594" s="29" t="s">
        <v>259</v>
      </c>
      <c r="E594" s="30"/>
      <c r="F594" s="31"/>
      <c r="G594" s="15" t="s">
        <v>57</v>
      </c>
      <c r="H594" s="16" t="s">
        <v>80</v>
      </c>
    </row>
    <row r="595" spans="2:8" s="1" customFormat="1" x14ac:dyDescent="0.15">
      <c r="B595" s="32">
        <v>200117</v>
      </c>
      <c r="C595" s="2" t="s">
        <v>2</v>
      </c>
      <c r="D595" s="9">
        <f>ROUND(C12*880,0)</f>
        <v>9240</v>
      </c>
      <c r="E595" s="3" t="s">
        <v>3</v>
      </c>
      <c r="F595" s="11">
        <f>ROUND(C12*980,0)</f>
        <v>10290</v>
      </c>
      <c r="G595" s="4" t="s">
        <v>8</v>
      </c>
      <c r="H595" s="17" t="s">
        <v>81</v>
      </c>
    </row>
    <row r="596" spans="2:8" s="1" customFormat="1" ht="13.5" customHeight="1" x14ac:dyDescent="0.15">
      <c r="B596" s="33"/>
      <c r="C596" s="5" t="s">
        <v>4</v>
      </c>
      <c r="D596" s="9">
        <f>ROUND(C12*680,0)</f>
        <v>7140</v>
      </c>
      <c r="E596" s="6" t="s">
        <v>5</v>
      </c>
      <c r="F596" s="11">
        <f>ROUND(C12*1936,0)</f>
        <v>20328</v>
      </c>
      <c r="G596" s="35">
        <v>100</v>
      </c>
      <c r="H596" s="17"/>
    </row>
    <row r="597" spans="2:8" s="1" customFormat="1" ht="13.5" customHeight="1" x14ac:dyDescent="0.15">
      <c r="B597" s="33"/>
      <c r="C597" s="7" t="s">
        <v>6</v>
      </c>
      <c r="D597" s="10">
        <v>4</v>
      </c>
      <c r="E597" s="8" t="s">
        <v>7</v>
      </c>
      <c r="F597" s="12">
        <f>ROUND(C12*530,0)</f>
        <v>5565</v>
      </c>
      <c r="G597" s="36"/>
      <c r="H597" s="17"/>
    </row>
    <row r="598" spans="2:8" s="1" customFormat="1" ht="14.25" thickBot="1" x14ac:dyDescent="0.2">
      <c r="B598" s="34"/>
      <c r="C598" s="18" t="s">
        <v>16</v>
      </c>
      <c r="D598" s="19" t="s">
        <v>393</v>
      </c>
      <c r="E598" s="20" t="s">
        <v>17</v>
      </c>
      <c r="F598" s="21" t="s">
        <v>100</v>
      </c>
      <c r="G598" s="22" t="s">
        <v>20</v>
      </c>
      <c r="H598" s="23" t="s">
        <v>37</v>
      </c>
    </row>
    <row r="599" spans="2:8" s="1" customFormat="1" x14ac:dyDescent="0.15">
      <c r="B599" s="13" t="s">
        <v>1</v>
      </c>
      <c r="C599" s="14" t="s">
        <v>0</v>
      </c>
      <c r="D599" s="29" t="s">
        <v>260</v>
      </c>
      <c r="E599" s="30"/>
      <c r="F599" s="31"/>
      <c r="G599" s="15" t="s">
        <v>57</v>
      </c>
      <c r="H599" s="16" t="s">
        <v>91</v>
      </c>
    </row>
    <row r="600" spans="2:8" s="1" customFormat="1" x14ac:dyDescent="0.15">
      <c r="B600" s="32">
        <v>200118</v>
      </c>
      <c r="C600" s="2" t="s">
        <v>2</v>
      </c>
      <c r="D600" s="9">
        <f>ROUND(C12*880,0)</f>
        <v>9240</v>
      </c>
      <c r="E600" s="3" t="s">
        <v>3</v>
      </c>
      <c r="F600" s="11">
        <f>ROUND(C12*980,0)</f>
        <v>10290</v>
      </c>
      <c r="G600" s="4" t="s">
        <v>8</v>
      </c>
      <c r="H600" s="17" t="s">
        <v>92</v>
      </c>
    </row>
    <row r="601" spans="2:8" s="1" customFormat="1" ht="13.5" customHeight="1" x14ac:dyDescent="0.15">
      <c r="B601" s="33"/>
      <c r="C601" s="5" t="s">
        <v>4</v>
      </c>
      <c r="D601" s="9">
        <f>ROUND(C12*680,0)</f>
        <v>7140</v>
      </c>
      <c r="E601" s="6" t="s">
        <v>5</v>
      </c>
      <c r="F601" s="11">
        <f>ROUND(C12*1936,0)</f>
        <v>20328</v>
      </c>
      <c r="G601" s="35">
        <v>100</v>
      </c>
      <c r="H601" s="17"/>
    </row>
    <row r="602" spans="2:8" s="1" customFormat="1" ht="13.5" customHeight="1" x14ac:dyDescent="0.15">
      <c r="B602" s="33"/>
      <c r="C602" s="7" t="s">
        <v>6</v>
      </c>
      <c r="D602" s="10">
        <v>4</v>
      </c>
      <c r="E602" s="8" t="s">
        <v>7</v>
      </c>
      <c r="F602" s="12">
        <f>ROUND(C12*530,0)</f>
        <v>5565</v>
      </c>
      <c r="G602" s="36"/>
      <c r="H602" s="17"/>
    </row>
    <row r="603" spans="2:8" s="1" customFormat="1" ht="14.25" thickBot="1" x14ac:dyDescent="0.2">
      <c r="B603" s="34"/>
      <c r="C603" s="18" t="s">
        <v>16</v>
      </c>
      <c r="D603" s="19" t="s">
        <v>407</v>
      </c>
      <c r="E603" s="20" t="s">
        <v>17</v>
      </c>
      <c r="F603" s="21" t="s">
        <v>49</v>
      </c>
      <c r="G603" s="22" t="s">
        <v>20</v>
      </c>
      <c r="H603" s="23" t="s">
        <v>37</v>
      </c>
    </row>
    <row r="604" spans="2:8" s="1" customFormat="1" x14ac:dyDescent="0.15">
      <c r="B604" s="13" t="s">
        <v>1</v>
      </c>
      <c r="C604" s="14" t="s">
        <v>0</v>
      </c>
      <c r="D604" s="29" t="s">
        <v>261</v>
      </c>
      <c r="E604" s="30"/>
      <c r="F604" s="31"/>
      <c r="G604" s="15" t="s">
        <v>57</v>
      </c>
      <c r="H604" s="16" t="s">
        <v>104</v>
      </c>
    </row>
    <row r="605" spans="2:8" s="1" customFormat="1" x14ac:dyDescent="0.15">
      <c r="B605" s="32">
        <v>200119</v>
      </c>
      <c r="C605" s="2" t="s">
        <v>2</v>
      </c>
      <c r="D605" s="9">
        <f>ROUND(C12*880,0)</f>
        <v>9240</v>
      </c>
      <c r="E605" s="3" t="s">
        <v>3</v>
      </c>
      <c r="F605" s="11">
        <f>ROUND(C12*476,0)</f>
        <v>4998</v>
      </c>
      <c r="G605" s="4" t="s">
        <v>8</v>
      </c>
      <c r="H605" s="17" t="s">
        <v>105</v>
      </c>
    </row>
    <row r="606" spans="2:8" s="1" customFormat="1" ht="13.5" customHeight="1" x14ac:dyDescent="0.15">
      <c r="B606" s="33"/>
      <c r="C606" s="5" t="s">
        <v>4</v>
      </c>
      <c r="D606" s="9">
        <f>ROUND(C12*680,0)</f>
        <v>7140</v>
      </c>
      <c r="E606" s="6" t="s">
        <v>5</v>
      </c>
      <c r="F606" s="11">
        <f>ROUND(C12*880,0)</f>
        <v>9240</v>
      </c>
      <c r="G606" s="35">
        <v>50</v>
      </c>
      <c r="H606" s="17"/>
    </row>
    <row r="607" spans="2:8" s="1" customFormat="1" ht="13.5" customHeight="1" x14ac:dyDescent="0.15">
      <c r="B607" s="33"/>
      <c r="C607" s="7" t="s">
        <v>6</v>
      </c>
      <c r="D607" s="10">
        <v>7</v>
      </c>
      <c r="E607" s="8" t="s">
        <v>7</v>
      </c>
      <c r="F607" s="12">
        <f>ROUND(C12*480,0)</f>
        <v>5040</v>
      </c>
      <c r="G607" s="36"/>
      <c r="H607" s="17"/>
    </row>
    <row r="608" spans="2:8" s="1" customFormat="1" ht="14.25" thickBot="1" x14ac:dyDescent="0.2">
      <c r="B608" s="34"/>
      <c r="C608" s="18" t="s">
        <v>16</v>
      </c>
      <c r="D608" s="19" t="s">
        <v>408</v>
      </c>
      <c r="E608" s="20" t="s">
        <v>17</v>
      </c>
      <c r="F608" s="21" t="s">
        <v>294</v>
      </c>
      <c r="G608" s="22" t="s">
        <v>20</v>
      </c>
      <c r="H608" s="23" t="s">
        <v>262</v>
      </c>
    </row>
    <row r="609" spans="2:8" s="1" customFormat="1" x14ac:dyDescent="0.15">
      <c r="B609" s="13" t="s">
        <v>1</v>
      </c>
      <c r="C609" s="14" t="s">
        <v>0</v>
      </c>
      <c r="D609" s="29" t="s">
        <v>263</v>
      </c>
      <c r="E609" s="30"/>
      <c r="F609" s="31"/>
      <c r="G609" s="15" t="s">
        <v>57</v>
      </c>
      <c r="H609" s="16" t="s">
        <v>35</v>
      </c>
    </row>
    <row r="610" spans="2:8" s="1" customFormat="1" x14ac:dyDescent="0.15">
      <c r="B610" s="32">
        <v>200120</v>
      </c>
      <c r="C610" s="2" t="s">
        <v>2</v>
      </c>
      <c r="D610" s="9">
        <f>ROUND(C12*880,0)</f>
        <v>9240</v>
      </c>
      <c r="E610" s="3" t="s">
        <v>3</v>
      </c>
      <c r="F610" s="11">
        <f>ROUND(C12*476,0)</f>
        <v>4998</v>
      </c>
      <c r="G610" s="4" t="s">
        <v>8</v>
      </c>
      <c r="H610" s="17" t="s">
        <v>23</v>
      </c>
    </row>
    <row r="611" spans="2:8" s="1" customFormat="1" ht="13.5" customHeight="1" x14ac:dyDescent="0.15">
      <c r="B611" s="33"/>
      <c r="C611" s="5" t="s">
        <v>4</v>
      </c>
      <c r="D611" s="9">
        <f>ROUND(C12*680,0)</f>
        <v>7140</v>
      </c>
      <c r="E611" s="6" t="s">
        <v>5</v>
      </c>
      <c r="F611" s="11">
        <f>ROUND(C12*880,0)</f>
        <v>9240</v>
      </c>
      <c r="G611" s="35">
        <v>100</v>
      </c>
      <c r="H611" s="17"/>
    </row>
    <row r="612" spans="2:8" s="1" customFormat="1" ht="13.5" customHeight="1" x14ac:dyDescent="0.15">
      <c r="B612" s="33"/>
      <c r="C612" s="7" t="s">
        <v>6</v>
      </c>
      <c r="D612" s="10">
        <v>7</v>
      </c>
      <c r="E612" s="8" t="s">
        <v>7</v>
      </c>
      <c r="F612" s="12">
        <f>ROUND(C12*480,0)</f>
        <v>5040</v>
      </c>
      <c r="G612" s="36"/>
      <c r="H612" s="17"/>
    </row>
    <row r="613" spans="2:8" s="1" customFormat="1" ht="14.25" thickBot="1" x14ac:dyDescent="0.2">
      <c r="B613" s="34"/>
      <c r="C613" s="18" t="s">
        <v>16</v>
      </c>
      <c r="D613" s="19" t="s">
        <v>413</v>
      </c>
      <c r="E613" s="20" t="s">
        <v>17</v>
      </c>
      <c r="F613" s="21" t="s">
        <v>52</v>
      </c>
      <c r="G613" s="22" t="s">
        <v>20</v>
      </c>
      <c r="H613" s="23" t="s">
        <v>37</v>
      </c>
    </row>
    <row r="614" spans="2:8" s="1" customFormat="1" x14ac:dyDescent="0.15">
      <c r="B614" s="13" t="s">
        <v>1</v>
      </c>
      <c r="C614" s="14" t="s">
        <v>0</v>
      </c>
      <c r="D614" s="29" t="s">
        <v>264</v>
      </c>
      <c r="E614" s="30"/>
      <c r="F614" s="31"/>
      <c r="G614" s="15" t="s">
        <v>57</v>
      </c>
      <c r="H614" s="16" t="s">
        <v>41</v>
      </c>
    </row>
    <row r="615" spans="2:8" s="1" customFormat="1" x14ac:dyDescent="0.15">
      <c r="B615" s="32">
        <v>200121</v>
      </c>
      <c r="C615" s="2" t="s">
        <v>2</v>
      </c>
      <c r="D615" s="9">
        <f>ROUND(C12*880,0)</f>
        <v>9240</v>
      </c>
      <c r="E615" s="3" t="s">
        <v>3</v>
      </c>
      <c r="F615" s="11">
        <f>ROUND(C12*980,0)</f>
        <v>10290</v>
      </c>
      <c r="G615" s="4" t="s">
        <v>8</v>
      </c>
      <c r="H615" s="17" t="s">
        <v>25</v>
      </c>
    </row>
    <row r="616" spans="2:8" s="1" customFormat="1" ht="13.5" customHeight="1" x14ac:dyDescent="0.15">
      <c r="B616" s="33"/>
      <c r="C616" s="5" t="s">
        <v>4</v>
      </c>
      <c r="D616" s="9">
        <f>ROUND(C12*680,0)</f>
        <v>7140</v>
      </c>
      <c r="E616" s="6" t="s">
        <v>5</v>
      </c>
      <c r="F616" s="11">
        <f>ROUND(C12*1936,0)</f>
        <v>20328</v>
      </c>
      <c r="G616" s="35">
        <v>100</v>
      </c>
      <c r="H616" s="17"/>
    </row>
    <row r="617" spans="2:8" s="1" customFormat="1" ht="13.5" customHeight="1" x14ac:dyDescent="0.15">
      <c r="B617" s="33"/>
      <c r="C617" s="7" t="s">
        <v>6</v>
      </c>
      <c r="D617" s="10">
        <v>4</v>
      </c>
      <c r="E617" s="8" t="s">
        <v>7</v>
      </c>
      <c r="F617" s="12">
        <f>ROUND(C12*530,0)</f>
        <v>5565</v>
      </c>
      <c r="G617" s="36"/>
      <c r="H617" s="17"/>
    </row>
    <row r="618" spans="2:8" s="1" customFormat="1" ht="14.25" thickBot="1" x14ac:dyDescent="0.2">
      <c r="B618" s="34"/>
      <c r="C618" s="18" t="s">
        <v>16</v>
      </c>
      <c r="D618" s="19" t="s">
        <v>419</v>
      </c>
      <c r="E618" s="20" t="s">
        <v>17</v>
      </c>
      <c r="F618" s="21" t="s">
        <v>82</v>
      </c>
      <c r="G618" s="22" t="s">
        <v>20</v>
      </c>
      <c r="H618" s="23" t="s">
        <v>37</v>
      </c>
    </row>
    <row r="619" spans="2:8" s="1" customFormat="1" x14ac:dyDescent="0.15">
      <c r="B619" s="13" t="s">
        <v>1</v>
      </c>
      <c r="C619" s="14" t="s">
        <v>0</v>
      </c>
      <c r="D619" s="29" t="s">
        <v>265</v>
      </c>
      <c r="E619" s="30"/>
      <c r="F619" s="31"/>
      <c r="G619" s="15" t="s">
        <v>57</v>
      </c>
      <c r="H619" s="16" t="s">
        <v>108</v>
      </c>
    </row>
    <row r="620" spans="2:8" s="1" customFormat="1" x14ac:dyDescent="0.15">
      <c r="B620" s="32">
        <v>200122</v>
      </c>
      <c r="C620" s="2" t="s">
        <v>2</v>
      </c>
      <c r="D620" s="9">
        <f>ROUND(C12*880,0)</f>
        <v>9240</v>
      </c>
      <c r="E620" s="3" t="s">
        <v>3</v>
      </c>
      <c r="F620" s="11">
        <f>ROUND(C12*980,0)</f>
        <v>10290</v>
      </c>
      <c r="G620" s="4" t="s">
        <v>8</v>
      </c>
      <c r="H620" s="17" t="s">
        <v>109</v>
      </c>
    </row>
    <row r="621" spans="2:8" s="1" customFormat="1" ht="13.5" customHeight="1" x14ac:dyDescent="0.15">
      <c r="B621" s="33"/>
      <c r="C621" s="5" t="s">
        <v>4</v>
      </c>
      <c r="D621" s="9">
        <f>ROUND(C12*680,0)</f>
        <v>7140</v>
      </c>
      <c r="E621" s="6" t="s">
        <v>5</v>
      </c>
      <c r="F621" s="11">
        <f>ROUND(C12*1936,0)</f>
        <v>20328</v>
      </c>
      <c r="G621" s="35">
        <v>100</v>
      </c>
      <c r="H621" s="17"/>
    </row>
    <row r="622" spans="2:8" s="1" customFormat="1" ht="13.5" customHeight="1" x14ac:dyDescent="0.15">
      <c r="B622" s="33"/>
      <c r="C622" s="7" t="s">
        <v>6</v>
      </c>
      <c r="D622" s="10">
        <v>4</v>
      </c>
      <c r="E622" s="8" t="s">
        <v>7</v>
      </c>
      <c r="F622" s="12">
        <f>ROUND(C12*530,0)</f>
        <v>5565</v>
      </c>
      <c r="G622" s="36"/>
      <c r="H622" s="17"/>
    </row>
    <row r="623" spans="2:8" s="1" customFormat="1" ht="14.25" thickBot="1" x14ac:dyDescent="0.2">
      <c r="B623" s="34"/>
      <c r="C623" s="18" t="s">
        <v>16</v>
      </c>
      <c r="D623" s="19" t="s">
        <v>393</v>
      </c>
      <c r="E623" s="20" t="s">
        <v>17</v>
      </c>
      <c r="F623" s="21" t="s">
        <v>52</v>
      </c>
      <c r="G623" s="22" t="s">
        <v>20</v>
      </c>
      <c r="H623" s="23" t="s">
        <v>37</v>
      </c>
    </row>
    <row r="624" spans="2:8" s="1" customFormat="1" x14ac:dyDescent="0.15">
      <c r="B624" s="13" t="s">
        <v>1</v>
      </c>
      <c r="C624" s="14" t="s">
        <v>0</v>
      </c>
      <c r="D624" s="29" t="s">
        <v>266</v>
      </c>
      <c r="E624" s="30"/>
      <c r="F624" s="31"/>
      <c r="G624" s="15" t="s">
        <v>57</v>
      </c>
      <c r="H624" s="16" t="s">
        <v>134</v>
      </c>
    </row>
    <row r="625" spans="2:8" s="1" customFormat="1" x14ac:dyDescent="0.15">
      <c r="B625" s="32">
        <v>200123</v>
      </c>
      <c r="C625" s="2" t="s">
        <v>2</v>
      </c>
      <c r="D625" s="9">
        <f>ROUND(C12*880,0)</f>
        <v>9240</v>
      </c>
      <c r="E625" s="3" t="s">
        <v>3</v>
      </c>
      <c r="F625" s="11">
        <f>ROUND(C12*476,0)</f>
        <v>4998</v>
      </c>
      <c r="G625" s="4" t="s">
        <v>8</v>
      </c>
      <c r="H625" s="17" t="s">
        <v>135</v>
      </c>
    </row>
    <row r="626" spans="2:8" s="1" customFormat="1" ht="13.5" customHeight="1" x14ac:dyDescent="0.15">
      <c r="B626" s="33"/>
      <c r="C626" s="5" t="s">
        <v>4</v>
      </c>
      <c r="D626" s="9">
        <f>ROUND(C12*680,0)</f>
        <v>7140</v>
      </c>
      <c r="E626" s="6" t="s">
        <v>5</v>
      </c>
      <c r="F626" s="11">
        <f>ROUND(C12*880,0)</f>
        <v>9240</v>
      </c>
      <c r="G626" s="35">
        <v>50</v>
      </c>
      <c r="H626" s="17"/>
    </row>
    <row r="627" spans="2:8" s="1" customFormat="1" ht="13.5" customHeight="1" x14ac:dyDescent="0.15">
      <c r="B627" s="33"/>
      <c r="C627" s="7" t="s">
        <v>6</v>
      </c>
      <c r="D627" s="10">
        <v>7</v>
      </c>
      <c r="E627" s="8" t="s">
        <v>7</v>
      </c>
      <c r="F627" s="12">
        <f>ROUND(C12*480,0)</f>
        <v>5040</v>
      </c>
      <c r="G627" s="36"/>
      <c r="H627" s="17"/>
    </row>
    <row r="628" spans="2:8" s="1" customFormat="1" ht="14.25" thickBot="1" x14ac:dyDescent="0.2">
      <c r="B628" s="34"/>
      <c r="C628" s="18" t="s">
        <v>16</v>
      </c>
      <c r="D628" s="19" t="s">
        <v>382</v>
      </c>
      <c r="E628" s="20" t="s">
        <v>17</v>
      </c>
      <c r="F628" s="21" t="s">
        <v>396</v>
      </c>
      <c r="G628" s="22" t="s">
        <v>20</v>
      </c>
      <c r="H628" s="23" t="s">
        <v>267</v>
      </c>
    </row>
    <row r="629" spans="2:8" s="1" customFormat="1" x14ac:dyDescent="0.15">
      <c r="B629" s="13" t="s">
        <v>1</v>
      </c>
      <c r="C629" s="14" t="s">
        <v>0</v>
      </c>
      <c r="D629" s="29" t="s">
        <v>268</v>
      </c>
      <c r="E629" s="30"/>
      <c r="F629" s="31"/>
      <c r="G629" s="15" t="s">
        <v>57</v>
      </c>
      <c r="H629" s="16" t="s">
        <v>55</v>
      </c>
    </row>
    <row r="630" spans="2:8" s="1" customFormat="1" x14ac:dyDescent="0.15">
      <c r="B630" s="32">
        <v>200124</v>
      </c>
      <c r="C630" s="2" t="s">
        <v>2</v>
      </c>
      <c r="D630" s="9">
        <f>ROUND(C12*880,0)</f>
        <v>9240</v>
      </c>
      <c r="E630" s="3" t="s">
        <v>3</v>
      </c>
      <c r="F630" s="11">
        <f>ROUND(C12*476,0)</f>
        <v>4998</v>
      </c>
      <c r="G630" s="4" t="s">
        <v>8</v>
      </c>
      <c r="H630" s="17" t="s">
        <v>30</v>
      </c>
    </row>
    <row r="631" spans="2:8" s="1" customFormat="1" ht="13.5" customHeight="1" x14ac:dyDescent="0.15">
      <c r="B631" s="33"/>
      <c r="C631" s="5" t="s">
        <v>4</v>
      </c>
      <c r="D631" s="9">
        <f>ROUND(C12*680,0)</f>
        <v>7140</v>
      </c>
      <c r="E631" s="6" t="s">
        <v>5</v>
      </c>
      <c r="F631" s="11">
        <f>ROUND(C12*880,0)</f>
        <v>9240</v>
      </c>
      <c r="G631" s="35">
        <v>100</v>
      </c>
      <c r="H631" s="17"/>
    </row>
    <row r="632" spans="2:8" s="1" customFormat="1" ht="13.5" customHeight="1" x14ac:dyDescent="0.15">
      <c r="B632" s="33"/>
      <c r="C632" s="7" t="s">
        <v>6</v>
      </c>
      <c r="D632" s="10">
        <v>7</v>
      </c>
      <c r="E632" s="8" t="s">
        <v>7</v>
      </c>
      <c r="F632" s="12">
        <f>ROUND(C12*480,0)</f>
        <v>5040</v>
      </c>
      <c r="G632" s="36"/>
      <c r="H632" s="17"/>
    </row>
    <row r="633" spans="2:8" s="1" customFormat="1" ht="14.25" thickBot="1" x14ac:dyDescent="0.2">
      <c r="B633" s="34"/>
      <c r="C633" s="18" t="s">
        <v>16</v>
      </c>
      <c r="D633" s="19" t="s">
        <v>422</v>
      </c>
      <c r="E633" s="20" t="s">
        <v>17</v>
      </c>
      <c r="F633" s="21" t="s">
        <v>293</v>
      </c>
      <c r="G633" s="22" t="s">
        <v>20</v>
      </c>
      <c r="H633" s="23" t="s">
        <v>37</v>
      </c>
    </row>
    <row r="634" spans="2:8" s="1" customFormat="1" x14ac:dyDescent="0.15">
      <c r="B634" s="13" t="s">
        <v>1</v>
      </c>
      <c r="C634" s="14" t="s">
        <v>0</v>
      </c>
      <c r="D634" s="29" t="s">
        <v>269</v>
      </c>
      <c r="E634" s="30"/>
      <c r="F634" s="31"/>
      <c r="G634" s="15" t="s">
        <v>57</v>
      </c>
      <c r="H634" s="16" t="s">
        <v>80</v>
      </c>
    </row>
    <row r="635" spans="2:8" s="1" customFormat="1" x14ac:dyDescent="0.15">
      <c r="B635" s="32">
        <v>200125</v>
      </c>
      <c r="C635" s="2" t="s">
        <v>2</v>
      </c>
      <c r="D635" s="9">
        <f>ROUND(C12*880,0)</f>
        <v>9240</v>
      </c>
      <c r="E635" s="3" t="s">
        <v>3</v>
      </c>
      <c r="F635" s="11">
        <f>ROUND(C12*980,0)</f>
        <v>10290</v>
      </c>
      <c r="G635" s="4" t="s">
        <v>8</v>
      </c>
      <c r="H635" s="17" t="s">
        <v>81</v>
      </c>
    </row>
    <row r="636" spans="2:8" s="1" customFormat="1" ht="13.5" customHeight="1" x14ac:dyDescent="0.15">
      <c r="B636" s="33"/>
      <c r="C636" s="5" t="s">
        <v>4</v>
      </c>
      <c r="D636" s="9">
        <f>ROUND(C12*680,0)</f>
        <v>7140</v>
      </c>
      <c r="E636" s="6" t="s">
        <v>5</v>
      </c>
      <c r="F636" s="11">
        <f>ROUND(C12*1936,0)</f>
        <v>20328</v>
      </c>
      <c r="G636" s="35">
        <v>100</v>
      </c>
      <c r="H636" s="17"/>
    </row>
    <row r="637" spans="2:8" s="1" customFormat="1" ht="13.5" customHeight="1" x14ac:dyDescent="0.15">
      <c r="B637" s="33"/>
      <c r="C637" s="7" t="s">
        <v>6</v>
      </c>
      <c r="D637" s="10">
        <v>4</v>
      </c>
      <c r="E637" s="8" t="s">
        <v>7</v>
      </c>
      <c r="F637" s="12">
        <f>ROUND(C12*530,0)</f>
        <v>5565</v>
      </c>
      <c r="G637" s="36"/>
      <c r="H637" s="17"/>
    </row>
    <row r="638" spans="2:8" s="1" customFormat="1" ht="14.25" thickBot="1" x14ac:dyDescent="0.2">
      <c r="B638" s="34"/>
      <c r="C638" s="18" t="s">
        <v>16</v>
      </c>
      <c r="D638" s="19" t="s">
        <v>402</v>
      </c>
      <c r="E638" s="20" t="s">
        <v>17</v>
      </c>
      <c r="F638" s="21" t="s">
        <v>51</v>
      </c>
      <c r="G638" s="22" t="s">
        <v>20</v>
      </c>
      <c r="H638" s="23" t="s">
        <v>37</v>
      </c>
    </row>
    <row r="639" spans="2:8" s="1" customFormat="1" x14ac:dyDescent="0.15">
      <c r="B639" s="13" t="s">
        <v>1</v>
      </c>
      <c r="C639" s="14" t="s">
        <v>0</v>
      </c>
      <c r="D639" s="29" t="s">
        <v>270</v>
      </c>
      <c r="E639" s="30"/>
      <c r="F639" s="31"/>
      <c r="G639" s="15" t="s">
        <v>57</v>
      </c>
      <c r="H639" s="16" t="s">
        <v>116</v>
      </c>
    </row>
    <row r="640" spans="2:8" s="1" customFormat="1" x14ac:dyDescent="0.15">
      <c r="B640" s="32">
        <v>200126</v>
      </c>
      <c r="C640" s="2" t="s">
        <v>2</v>
      </c>
      <c r="D640" s="9">
        <f>ROUND(C12*880,0)</f>
        <v>9240</v>
      </c>
      <c r="E640" s="3" t="s">
        <v>3</v>
      </c>
      <c r="F640" s="11">
        <f>ROUND(C12*476,0)</f>
        <v>4998</v>
      </c>
      <c r="G640" s="4" t="s">
        <v>8</v>
      </c>
      <c r="H640" s="17" t="s">
        <v>117</v>
      </c>
    </row>
    <row r="641" spans="2:8" s="1" customFormat="1" ht="13.5" customHeight="1" x14ac:dyDescent="0.15">
      <c r="B641" s="33"/>
      <c r="C641" s="5" t="s">
        <v>4</v>
      </c>
      <c r="D641" s="9">
        <f>ROUND(C12*680,0)</f>
        <v>7140</v>
      </c>
      <c r="E641" s="6" t="s">
        <v>5</v>
      </c>
      <c r="F641" s="11">
        <f>ROUND(C12*880,0)</f>
        <v>9240</v>
      </c>
      <c r="G641" s="35">
        <v>100</v>
      </c>
      <c r="H641" s="17"/>
    </row>
    <row r="642" spans="2:8" s="1" customFormat="1" ht="13.5" customHeight="1" x14ac:dyDescent="0.15">
      <c r="B642" s="33"/>
      <c r="C642" s="7" t="s">
        <v>6</v>
      </c>
      <c r="D642" s="10">
        <v>7</v>
      </c>
      <c r="E642" s="8" t="s">
        <v>7</v>
      </c>
      <c r="F642" s="12">
        <f>ROUND(C12*530,0)</f>
        <v>5565</v>
      </c>
      <c r="G642" s="36"/>
      <c r="H642" s="17"/>
    </row>
    <row r="643" spans="2:8" s="1" customFormat="1" ht="14.25" thickBot="1" x14ac:dyDescent="0.2">
      <c r="B643" s="34"/>
      <c r="C643" s="18" t="s">
        <v>16</v>
      </c>
      <c r="D643" s="19" t="s">
        <v>428</v>
      </c>
      <c r="E643" s="20" t="s">
        <v>17</v>
      </c>
      <c r="F643" s="21" t="s">
        <v>56</v>
      </c>
      <c r="G643" s="22" t="s">
        <v>20</v>
      </c>
      <c r="H643" s="23" t="s">
        <v>37</v>
      </c>
    </row>
    <row r="644" spans="2:8" s="1" customFormat="1" x14ac:dyDescent="0.15">
      <c r="B644" s="13" t="s">
        <v>1</v>
      </c>
      <c r="C644" s="14" t="s">
        <v>0</v>
      </c>
      <c r="D644" s="29" t="s">
        <v>271</v>
      </c>
      <c r="E644" s="30"/>
      <c r="F644" s="31"/>
      <c r="G644" s="15" t="s">
        <v>57</v>
      </c>
      <c r="H644" s="16" t="s">
        <v>128</v>
      </c>
    </row>
    <row r="645" spans="2:8" s="1" customFormat="1" x14ac:dyDescent="0.15">
      <c r="B645" s="32">
        <v>200127</v>
      </c>
      <c r="C645" s="2" t="s">
        <v>2</v>
      </c>
      <c r="D645" s="9">
        <f>ROUND(C12*880,0)</f>
        <v>9240</v>
      </c>
      <c r="E645" s="3" t="s">
        <v>3</v>
      </c>
      <c r="F645" s="11">
        <f>ROUND(C12*980,0)</f>
        <v>10290</v>
      </c>
      <c r="G645" s="4" t="s">
        <v>8</v>
      </c>
      <c r="H645" s="17" t="s">
        <v>129</v>
      </c>
    </row>
    <row r="646" spans="2:8" s="1" customFormat="1" ht="13.5" customHeight="1" x14ac:dyDescent="0.15">
      <c r="B646" s="33"/>
      <c r="C646" s="5" t="s">
        <v>4</v>
      </c>
      <c r="D646" s="9">
        <f>ROUND(C12*680,0)</f>
        <v>7140</v>
      </c>
      <c r="E646" s="6" t="s">
        <v>5</v>
      </c>
      <c r="F646" s="11">
        <f>ROUND(C12*1936,0)</f>
        <v>20328</v>
      </c>
      <c r="G646" s="35">
        <v>100</v>
      </c>
      <c r="H646" s="17"/>
    </row>
    <row r="647" spans="2:8" s="1" customFormat="1" ht="13.5" customHeight="1" x14ac:dyDescent="0.15">
      <c r="B647" s="33"/>
      <c r="C647" s="7" t="s">
        <v>6</v>
      </c>
      <c r="D647" s="10">
        <v>4</v>
      </c>
      <c r="E647" s="8" t="s">
        <v>7</v>
      </c>
      <c r="F647" s="12">
        <f>ROUND(C12*530,0)</f>
        <v>5565</v>
      </c>
      <c r="G647" s="36"/>
      <c r="H647" s="17"/>
    </row>
    <row r="648" spans="2:8" s="1" customFormat="1" ht="14.25" thickBot="1" x14ac:dyDescent="0.2">
      <c r="B648" s="34"/>
      <c r="C648" s="18" t="s">
        <v>16</v>
      </c>
      <c r="D648" s="19" t="s">
        <v>431</v>
      </c>
      <c r="E648" s="20" t="s">
        <v>17</v>
      </c>
      <c r="F648" s="21" t="s">
        <v>49</v>
      </c>
      <c r="G648" s="22" t="s">
        <v>20</v>
      </c>
      <c r="H648" s="23" t="s">
        <v>37</v>
      </c>
    </row>
    <row r="649" spans="2:8" s="1" customFormat="1" x14ac:dyDescent="0.15">
      <c r="B649" s="13" t="s">
        <v>1</v>
      </c>
      <c r="C649" s="14" t="s">
        <v>0</v>
      </c>
      <c r="D649" s="29" t="s">
        <v>272</v>
      </c>
      <c r="E649" s="30"/>
      <c r="F649" s="31"/>
      <c r="G649" s="15" t="s">
        <v>57</v>
      </c>
      <c r="H649" s="16" t="s">
        <v>139</v>
      </c>
    </row>
    <row r="650" spans="2:8" s="1" customFormat="1" x14ac:dyDescent="0.15">
      <c r="B650" s="32">
        <v>200128</v>
      </c>
      <c r="C650" s="2" t="s">
        <v>2</v>
      </c>
      <c r="D650" s="9">
        <f>ROUND(C12*880,0)</f>
        <v>9240</v>
      </c>
      <c r="E650" s="3" t="s">
        <v>3</v>
      </c>
      <c r="F650" s="11">
        <f>ROUND(C12*476,0)</f>
        <v>4998</v>
      </c>
      <c r="G650" s="4" t="s">
        <v>8</v>
      </c>
      <c r="H650" s="17" t="s">
        <v>140</v>
      </c>
    </row>
    <row r="651" spans="2:8" s="1" customFormat="1" ht="13.5" customHeight="1" x14ac:dyDescent="0.15">
      <c r="B651" s="33"/>
      <c r="C651" s="5" t="s">
        <v>4</v>
      </c>
      <c r="D651" s="9">
        <f>ROUND(C12*680,0)</f>
        <v>7140</v>
      </c>
      <c r="E651" s="6" t="s">
        <v>5</v>
      </c>
      <c r="F651" s="11">
        <f>ROUND(C12*880,0)</f>
        <v>9240</v>
      </c>
      <c r="G651" s="35">
        <v>50</v>
      </c>
      <c r="H651" s="17"/>
    </row>
    <row r="652" spans="2:8" s="1" customFormat="1" ht="13.5" customHeight="1" x14ac:dyDescent="0.15">
      <c r="B652" s="33"/>
      <c r="C652" s="7" t="s">
        <v>6</v>
      </c>
      <c r="D652" s="10">
        <v>7</v>
      </c>
      <c r="E652" s="8" t="s">
        <v>7</v>
      </c>
      <c r="F652" s="12">
        <f>ROUND(C12*480,0)</f>
        <v>5040</v>
      </c>
      <c r="G652" s="36"/>
      <c r="H652" s="17"/>
    </row>
    <row r="653" spans="2:8" s="1" customFormat="1" ht="14.25" thickBot="1" x14ac:dyDescent="0.2">
      <c r="B653" s="34"/>
      <c r="C653" s="18" t="s">
        <v>16</v>
      </c>
      <c r="D653" s="19" t="s">
        <v>432</v>
      </c>
      <c r="E653" s="20" t="s">
        <v>17</v>
      </c>
      <c r="F653" s="21" t="s">
        <v>93</v>
      </c>
      <c r="G653" s="22" t="s">
        <v>20</v>
      </c>
      <c r="H653" s="23" t="s">
        <v>37</v>
      </c>
    </row>
    <row r="654" spans="2:8" s="1" customFormat="1" x14ac:dyDescent="0.15">
      <c r="B654" s="13" t="s">
        <v>1</v>
      </c>
      <c r="C654" s="14" t="s">
        <v>0</v>
      </c>
      <c r="D654" s="29" t="s">
        <v>273</v>
      </c>
      <c r="E654" s="30"/>
      <c r="F654" s="31"/>
      <c r="G654" s="15" t="s">
        <v>57</v>
      </c>
      <c r="H654" s="16" t="s">
        <v>35</v>
      </c>
    </row>
    <row r="655" spans="2:8" s="1" customFormat="1" x14ac:dyDescent="0.15">
      <c r="B655" s="32">
        <v>200129</v>
      </c>
      <c r="C655" s="2" t="s">
        <v>2</v>
      </c>
      <c r="D655" s="9">
        <f>ROUND(C12*880,0)</f>
        <v>9240</v>
      </c>
      <c r="E655" s="3" t="s">
        <v>3</v>
      </c>
      <c r="F655" s="11">
        <f>ROUND(C12*476,0)</f>
        <v>4998</v>
      </c>
      <c r="G655" s="4" t="s">
        <v>8</v>
      </c>
      <c r="H655" s="17" t="s">
        <v>23</v>
      </c>
    </row>
    <row r="656" spans="2:8" s="1" customFormat="1" ht="13.5" customHeight="1" x14ac:dyDescent="0.15">
      <c r="B656" s="33"/>
      <c r="C656" s="5" t="s">
        <v>4</v>
      </c>
      <c r="D656" s="9">
        <f>ROUND(C12*680,0)</f>
        <v>7140</v>
      </c>
      <c r="E656" s="6" t="s">
        <v>5</v>
      </c>
      <c r="F656" s="11">
        <f>ROUND(C12*880,0)</f>
        <v>9240</v>
      </c>
      <c r="G656" s="35">
        <v>100</v>
      </c>
      <c r="H656" s="17"/>
    </row>
    <row r="657" spans="2:8" s="1" customFormat="1" ht="13.5" customHeight="1" x14ac:dyDescent="0.15">
      <c r="B657" s="33"/>
      <c r="C657" s="7" t="s">
        <v>6</v>
      </c>
      <c r="D657" s="10">
        <v>7</v>
      </c>
      <c r="E657" s="8" t="s">
        <v>7</v>
      </c>
      <c r="F657" s="12">
        <f>ROUND(C12*480,0)</f>
        <v>5040</v>
      </c>
      <c r="G657" s="36"/>
      <c r="H657" s="17"/>
    </row>
    <row r="658" spans="2:8" s="1" customFormat="1" ht="14.25" thickBot="1" x14ac:dyDescent="0.2">
      <c r="B658" s="34"/>
      <c r="C658" s="18" t="s">
        <v>16</v>
      </c>
      <c r="D658" s="19" t="s">
        <v>395</v>
      </c>
      <c r="E658" s="20" t="s">
        <v>17</v>
      </c>
      <c r="F658" s="21" t="s">
        <v>396</v>
      </c>
      <c r="G658" s="22" t="s">
        <v>20</v>
      </c>
      <c r="H658" s="23" t="s">
        <v>37</v>
      </c>
    </row>
    <row r="659" spans="2:8" s="1" customFormat="1" x14ac:dyDescent="0.15">
      <c r="B659" s="13" t="s">
        <v>1</v>
      </c>
      <c r="C659" s="14" t="s">
        <v>0</v>
      </c>
      <c r="D659" s="29" t="s">
        <v>274</v>
      </c>
      <c r="E659" s="30"/>
      <c r="F659" s="31"/>
      <c r="G659" s="15" t="s">
        <v>57</v>
      </c>
      <c r="H659" s="16" t="s">
        <v>41</v>
      </c>
    </row>
    <row r="660" spans="2:8" s="1" customFormat="1" x14ac:dyDescent="0.15">
      <c r="B660" s="32">
        <v>200130</v>
      </c>
      <c r="C660" s="2" t="s">
        <v>2</v>
      </c>
      <c r="D660" s="9">
        <f>ROUND(C12*880,0)</f>
        <v>9240</v>
      </c>
      <c r="E660" s="3" t="s">
        <v>3</v>
      </c>
      <c r="F660" s="11">
        <f>ROUND(C12*980,0)</f>
        <v>10290</v>
      </c>
      <c r="G660" s="4" t="s">
        <v>8</v>
      </c>
      <c r="H660" s="17" t="s">
        <v>25</v>
      </c>
    </row>
    <row r="661" spans="2:8" s="1" customFormat="1" ht="13.5" customHeight="1" x14ac:dyDescent="0.15">
      <c r="B661" s="33"/>
      <c r="C661" s="5" t="s">
        <v>4</v>
      </c>
      <c r="D661" s="9">
        <f>ROUND(C12*680,0)</f>
        <v>7140</v>
      </c>
      <c r="E661" s="6" t="s">
        <v>5</v>
      </c>
      <c r="F661" s="11">
        <f>ROUND(C12*1936,0)</f>
        <v>20328</v>
      </c>
      <c r="G661" s="35">
        <v>100</v>
      </c>
      <c r="H661" s="17"/>
    </row>
    <row r="662" spans="2:8" s="1" customFormat="1" ht="13.5" customHeight="1" x14ac:dyDescent="0.15">
      <c r="B662" s="33"/>
      <c r="C662" s="7" t="s">
        <v>6</v>
      </c>
      <c r="D662" s="10">
        <v>4</v>
      </c>
      <c r="E662" s="8" t="s">
        <v>7</v>
      </c>
      <c r="F662" s="12">
        <f>ROUND(C12*530,0)</f>
        <v>5565</v>
      </c>
      <c r="G662" s="36"/>
      <c r="H662" s="17"/>
    </row>
    <row r="663" spans="2:8" s="1" customFormat="1" ht="14.25" thickBot="1" x14ac:dyDescent="0.2">
      <c r="B663" s="34"/>
      <c r="C663" s="18" t="s">
        <v>16</v>
      </c>
      <c r="D663" s="19" t="s">
        <v>376</v>
      </c>
      <c r="E663" s="20" t="s">
        <v>17</v>
      </c>
      <c r="F663" s="21" t="s">
        <v>52</v>
      </c>
      <c r="G663" s="22" t="s">
        <v>20</v>
      </c>
      <c r="H663" s="23" t="s">
        <v>37</v>
      </c>
    </row>
    <row r="664" spans="2:8" s="1" customFormat="1" x14ac:dyDescent="0.15">
      <c r="B664" s="13" t="s">
        <v>1</v>
      </c>
      <c r="C664" s="14" t="s">
        <v>0</v>
      </c>
      <c r="D664" s="29" t="s">
        <v>275</v>
      </c>
      <c r="E664" s="30"/>
      <c r="F664" s="31"/>
      <c r="G664" s="15" t="s">
        <v>57</v>
      </c>
      <c r="H664" s="16" t="s">
        <v>131</v>
      </c>
    </row>
    <row r="665" spans="2:8" s="1" customFormat="1" x14ac:dyDescent="0.15">
      <c r="B665" s="32">
        <v>200131</v>
      </c>
      <c r="C665" s="2" t="s">
        <v>2</v>
      </c>
      <c r="D665" s="9">
        <f>ROUND(C12*880,0)</f>
        <v>9240</v>
      </c>
      <c r="E665" s="3" t="s">
        <v>3</v>
      </c>
      <c r="F665" s="11">
        <f>ROUND(C12*476,0)</f>
        <v>4998</v>
      </c>
      <c r="G665" s="4" t="s">
        <v>8</v>
      </c>
      <c r="H665" s="17" t="s">
        <v>132</v>
      </c>
    </row>
    <row r="666" spans="2:8" s="1" customFormat="1" ht="13.5" customHeight="1" x14ac:dyDescent="0.15">
      <c r="B666" s="33"/>
      <c r="C666" s="5" t="s">
        <v>4</v>
      </c>
      <c r="D666" s="9">
        <f>ROUND(C12*680,0)</f>
        <v>7140</v>
      </c>
      <c r="E666" s="6" t="s">
        <v>5</v>
      </c>
      <c r="F666" s="11">
        <f>ROUND(C12*880,0)</f>
        <v>9240</v>
      </c>
      <c r="G666" s="35">
        <v>100</v>
      </c>
      <c r="H666" s="17"/>
    </row>
    <row r="667" spans="2:8" s="1" customFormat="1" ht="13.5" customHeight="1" x14ac:dyDescent="0.15">
      <c r="B667" s="33"/>
      <c r="C667" s="7" t="s">
        <v>6</v>
      </c>
      <c r="D667" s="10">
        <v>7</v>
      </c>
      <c r="E667" s="8" t="s">
        <v>7</v>
      </c>
      <c r="F667" s="12">
        <f>ROUND(C12*530,0)</f>
        <v>5565</v>
      </c>
      <c r="G667" s="36"/>
      <c r="H667" s="17"/>
    </row>
    <row r="668" spans="2:8" s="1" customFormat="1" ht="14.25" thickBot="1" x14ac:dyDescent="0.2">
      <c r="B668" s="34"/>
      <c r="C668" s="18" t="s">
        <v>16</v>
      </c>
      <c r="D668" s="19" t="s">
        <v>416</v>
      </c>
      <c r="E668" s="20" t="s">
        <v>17</v>
      </c>
      <c r="F668" s="21" t="s">
        <v>93</v>
      </c>
      <c r="G668" s="22" t="s">
        <v>20</v>
      </c>
      <c r="H668" s="23" t="s">
        <v>37</v>
      </c>
    </row>
    <row r="669" spans="2:8" s="1" customFormat="1" x14ac:dyDescent="0.15">
      <c r="B669" s="13" t="s">
        <v>1</v>
      </c>
      <c r="C669" s="14" t="s">
        <v>0</v>
      </c>
      <c r="D669" s="29" t="s">
        <v>276</v>
      </c>
      <c r="E669" s="30"/>
      <c r="F669" s="31"/>
      <c r="G669" s="15" t="s">
        <v>57</v>
      </c>
      <c r="H669" s="16" t="s">
        <v>146</v>
      </c>
    </row>
    <row r="670" spans="2:8" s="1" customFormat="1" x14ac:dyDescent="0.15">
      <c r="B670" s="32">
        <v>200132</v>
      </c>
      <c r="C670" s="2" t="s">
        <v>2</v>
      </c>
      <c r="D670" s="9">
        <f>ROUND(C12*880,0)</f>
        <v>9240</v>
      </c>
      <c r="E670" s="3" t="s">
        <v>3</v>
      </c>
      <c r="F670" s="11">
        <f>ROUND(C12*980,0)</f>
        <v>10290</v>
      </c>
      <c r="G670" s="4" t="s">
        <v>8</v>
      </c>
      <c r="H670" s="17" t="s">
        <v>147</v>
      </c>
    </row>
    <row r="671" spans="2:8" s="1" customFormat="1" ht="13.5" customHeight="1" x14ac:dyDescent="0.15">
      <c r="B671" s="33"/>
      <c r="C671" s="5" t="s">
        <v>4</v>
      </c>
      <c r="D671" s="9">
        <f>ROUND(C12*680,0)</f>
        <v>7140</v>
      </c>
      <c r="E671" s="6" t="s">
        <v>5</v>
      </c>
      <c r="F671" s="11">
        <f>ROUND(C12*1936,0)</f>
        <v>20328</v>
      </c>
      <c r="G671" s="35">
        <v>100</v>
      </c>
      <c r="H671" s="17"/>
    </row>
    <row r="672" spans="2:8" s="1" customFormat="1" ht="13.5" customHeight="1" x14ac:dyDescent="0.15">
      <c r="B672" s="33"/>
      <c r="C672" s="7" t="s">
        <v>6</v>
      </c>
      <c r="D672" s="10">
        <v>4</v>
      </c>
      <c r="E672" s="8" t="s">
        <v>7</v>
      </c>
      <c r="F672" s="12">
        <f>ROUND(C12*530,0)</f>
        <v>5565</v>
      </c>
      <c r="G672" s="36"/>
      <c r="H672" s="17"/>
    </row>
    <row r="673" spans="2:8" s="1" customFormat="1" ht="14.25" thickBot="1" x14ac:dyDescent="0.2">
      <c r="B673" s="34"/>
      <c r="C673" s="18" t="s">
        <v>16</v>
      </c>
      <c r="D673" s="19" t="s">
        <v>429</v>
      </c>
      <c r="E673" s="20" t="s">
        <v>17</v>
      </c>
      <c r="F673" s="21" t="s">
        <v>218</v>
      </c>
      <c r="G673" s="22" t="s">
        <v>20</v>
      </c>
      <c r="H673" s="23" t="s">
        <v>37</v>
      </c>
    </row>
    <row r="674" spans="2:8" s="1" customFormat="1" x14ac:dyDescent="0.15">
      <c r="B674" s="13" t="s">
        <v>1</v>
      </c>
      <c r="C674" s="14" t="s">
        <v>0</v>
      </c>
      <c r="D674" s="29" t="s">
        <v>277</v>
      </c>
      <c r="E674" s="30"/>
      <c r="F674" s="31"/>
      <c r="G674" s="15" t="s">
        <v>57</v>
      </c>
      <c r="H674" s="16" t="s">
        <v>167</v>
      </c>
    </row>
    <row r="675" spans="2:8" s="1" customFormat="1" x14ac:dyDescent="0.15">
      <c r="B675" s="32">
        <v>200133</v>
      </c>
      <c r="C675" s="2" t="s">
        <v>2</v>
      </c>
      <c r="D675" s="9">
        <f>ROUND(C12*880,0)</f>
        <v>9240</v>
      </c>
      <c r="E675" s="3" t="s">
        <v>3</v>
      </c>
      <c r="F675" s="11">
        <f>ROUND(C12*476,0)</f>
        <v>4998</v>
      </c>
      <c r="G675" s="4" t="s">
        <v>8</v>
      </c>
      <c r="H675" s="17" t="s">
        <v>168</v>
      </c>
    </row>
    <row r="676" spans="2:8" s="1" customFormat="1" ht="13.5" customHeight="1" x14ac:dyDescent="0.15">
      <c r="B676" s="33"/>
      <c r="C676" s="5" t="s">
        <v>4</v>
      </c>
      <c r="D676" s="9">
        <f>ROUND(C12*680,0)</f>
        <v>7140</v>
      </c>
      <c r="E676" s="6" t="s">
        <v>5</v>
      </c>
      <c r="F676" s="11">
        <f>ROUND(C12*880,0)</f>
        <v>9240</v>
      </c>
      <c r="G676" s="35">
        <v>50</v>
      </c>
      <c r="H676" s="17"/>
    </row>
    <row r="677" spans="2:8" s="1" customFormat="1" ht="13.5" customHeight="1" x14ac:dyDescent="0.15">
      <c r="B677" s="33"/>
      <c r="C677" s="7" t="s">
        <v>6</v>
      </c>
      <c r="D677" s="10">
        <v>7</v>
      </c>
      <c r="E677" s="8" t="s">
        <v>7</v>
      </c>
      <c r="F677" s="12">
        <f>ROUND(C12*480,0)</f>
        <v>5040</v>
      </c>
      <c r="G677" s="36"/>
      <c r="H677" s="17"/>
    </row>
    <row r="678" spans="2:8" s="1" customFormat="1" ht="14.25" thickBot="1" x14ac:dyDescent="0.2">
      <c r="B678" s="34"/>
      <c r="C678" s="18" t="s">
        <v>16</v>
      </c>
      <c r="D678" s="19" t="s">
        <v>419</v>
      </c>
      <c r="E678" s="20" t="s">
        <v>17</v>
      </c>
      <c r="F678" s="21" t="s">
        <v>33</v>
      </c>
      <c r="G678" s="22" t="s">
        <v>20</v>
      </c>
      <c r="H678" s="23" t="s">
        <v>278</v>
      </c>
    </row>
    <row r="679" spans="2:8" s="1" customFormat="1" x14ac:dyDescent="0.15">
      <c r="B679" s="13" t="s">
        <v>1</v>
      </c>
      <c r="C679" s="14" t="s">
        <v>0</v>
      </c>
      <c r="D679" s="29" t="s">
        <v>279</v>
      </c>
      <c r="E679" s="30"/>
      <c r="F679" s="31"/>
      <c r="G679" s="15" t="s">
        <v>57</v>
      </c>
      <c r="H679" s="16" t="s">
        <v>55</v>
      </c>
    </row>
    <row r="680" spans="2:8" s="1" customFormat="1" x14ac:dyDescent="0.15">
      <c r="B680" s="32">
        <v>200134</v>
      </c>
      <c r="C680" s="2" t="s">
        <v>2</v>
      </c>
      <c r="D680" s="9">
        <f>ROUND(C12*880,0)</f>
        <v>9240</v>
      </c>
      <c r="E680" s="3" t="s">
        <v>3</v>
      </c>
      <c r="F680" s="11">
        <f>ROUND(C12*476,0)</f>
        <v>4998</v>
      </c>
      <c r="G680" s="4" t="s">
        <v>8</v>
      </c>
      <c r="H680" s="17" t="s">
        <v>30</v>
      </c>
    </row>
    <row r="681" spans="2:8" s="1" customFormat="1" ht="13.5" customHeight="1" x14ac:dyDescent="0.15">
      <c r="B681" s="33"/>
      <c r="C681" s="5" t="s">
        <v>4</v>
      </c>
      <c r="D681" s="9">
        <f>ROUND(C12*680,0)</f>
        <v>7140</v>
      </c>
      <c r="E681" s="6" t="s">
        <v>5</v>
      </c>
      <c r="F681" s="11">
        <f>ROUND(C12*880,0)</f>
        <v>9240</v>
      </c>
      <c r="G681" s="35">
        <v>100</v>
      </c>
      <c r="H681" s="17"/>
    </row>
    <row r="682" spans="2:8" s="1" customFormat="1" ht="13.5" customHeight="1" x14ac:dyDescent="0.15">
      <c r="B682" s="33"/>
      <c r="C682" s="7" t="s">
        <v>6</v>
      </c>
      <c r="D682" s="10">
        <v>7</v>
      </c>
      <c r="E682" s="8" t="s">
        <v>7</v>
      </c>
      <c r="F682" s="12">
        <f>ROUND(C12*480,0)</f>
        <v>5040</v>
      </c>
      <c r="G682" s="36"/>
      <c r="H682" s="17"/>
    </row>
    <row r="683" spans="2:8" s="1" customFormat="1" ht="14.25" thickBot="1" x14ac:dyDescent="0.2">
      <c r="B683" s="34"/>
      <c r="C683" s="18" t="s">
        <v>16</v>
      </c>
      <c r="D683" s="19" t="s">
        <v>411</v>
      </c>
      <c r="E683" s="20" t="s">
        <v>17</v>
      </c>
      <c r="F683" s="21" t="s">
        <v>392</v>
      </c>
      <c r="G683" s="22" t="s">
        <v>20</v>
      </c>
      <c r="H683" s="23" t="s">
        <v>37</v>
      </c>
    </row>
    <row r="684" spans="2:8" s="1" customFormat="1" x14ac:dyDescent="0.15">
      <c r="B684" s="13" t="s">
        <v>1</v>
      </c>
      <c r="C684" s="14" t="s">
        <v>0</v>
      </c>
      <c r="D684" s="29" t="s">
        <v>280</v>
      </c>
      <c r="E684" s="30"/>
      <c r="F684" s="31"/>
      <c r="G684" s="15" t="s">
        <v>57</v>
      </c>
      <c r="H684" s="16" t="s">
        <v>80</v>
      </c>
    </row>
    <row r="685" spans="2:8" s="1" customFormat="1" x14ac:dyDescent="0.15">
      <c r="B685" s="32">
        <v>200135</v>
      </c>
      <c r="C685" s="2" t="s">
        <v>2</v>
      </c>
      <c r="D685" s="9">
        <f>ROUND(C12*880,0)</f>
        <v>9240</v>
      </c>
      <c r="E685" s="3" t="s">
        <v>3</v>
      </c>
      <c r="F685" s="11">
        <f>ROUND(C12*980,0)</f>
        <v>10290</v>
      </c>
      <c r="G685" s="4" t="s">
        <v>8</v>
      </c>
      <c r="H685" s="17" t="s">
        <v>81</v>
      </c>
    </row>
    <row r="686" spans="2:8" s="1" customFormat="1" ht="13.5" customHeight="1" x14ac:dyDescent="0.15">
      <c r="B686" s="33"/>
      <c r="C686" s="5" t="s">
        <v>4</v>
      </c>
      <c r="D686" s="9">
        <f>ROUND(C12*680,0)</f>
        <v>7140</v>
      </c>
      <c r="E686" s="6" t="s">
        <v>5</v>
      </c>
      <c r="F686" s="11">
        <f>ROUND(C12*1936,0)</f>
        <v>20328</v>
      </c>
      <c r="G686" s="35">
        <v>100</v>
      </c>
      <c r="H686" s="17"/>
    </row>
    <row r="687" spans="2:8" s="1" customFormat="1" ht="13.5" customHeight="1" x14ac:dyDescent="0.15">
      <c r="B687" s="33"/>
      <c r="C687" s="7" t="s">
        <v>6</v>
      </c>
      <c r="D687" s="10">
        <v>4</v>
      </c>
      <c r="E687" s="8" t="s">
        <v>7</v>
      </c>
      <c r="F687" s="12">
        <f>ROUND(C12*530,0)</f>
        <v>5565</v>
      </c>
      <c r="G687" s="36"/>
      <c r="H687" s="17"/>
    </row>
    <row r="688" spans="2:8" s="1" customFormat="1" ht="14.25" thickBot="1" x14ac:dyDescent="0.2">
      <c r="B688" s="34"/>
      <c r="C688" s="18" t="s">
        <v>16</v>
      </c>
      <c r="D688" s="19" t="s">
        <v>433</v>
      </c>
      <c r="E688" s="20" t="s">
        <v>17</v>
      </c>
      <c r="F688" s="21" t="s">
        <v>71</v>
      </c>
      <c r="G688" s="22" t="s">
        <v>20</v>
      </c>
      <c r="H688" s="23" t="s">
        <v>37</v>
      </c>
    </row>
    <row r="689" spans="2:8" s="1" customFormat="1" x14ac:dyDescent="0.15">
      <c r="B689" s="13" t="s">
        <v>1</v>
      </c>
      <c r="C689" s="14" t="s">
        <v>0</v>
      </c>
      <c r="D689" s="29" t="s">
        <v>281</v>
      </c>
      <c r="E689" s="30"/>
      <c r="F689" s="31"/>
      <c r="G689" s="15" t="s">
        <v>57</v>
      </c>
      <c r="H689" s="16" t="s">
        <v>44</v>
      </c>
    </row>
    <row r="690" spans="2:8" s="1" customFormat="1" x14ac:dyDescent="0.15">
      <c r="B690" s="32">
        <v>200136</v>
      </c>
      <c r="C690" s="2" t="s">
        <v>2</v>
      </c>
      <c r="D690" s="9">
        <f>ROUND(C12*880,0)</f>
        <v>9240</v>
      </c>
      <c r="E690" s="3" t="s">
        <v>3</v>
      </c>
      <c r="F690" s="11">
        <f>ROUND(C12*476,0)</f>
        <v>4998</v>
      </c>
      <c r="G690" s="4" t="s">
        <v>8</v>
      </c>
      <c r="H690" s="17" t="s">
        <v>26</v>
      </c>
    </row>
    <row r="691" spans="2:8" s="1" customFormat="1" ht="13.5" customHeight="1" x14ac:dyDescent="0.15">
      <c r="B691" s="33"/>
      <c r="C691" s="5" t="s">
        <v>4</v>
      </c>
      <c r="D691" s="9">
        <f>ROUND(C12*680,0)</f>
        <v>7140</v>
      </c>
      <c r="E691" s="6" t="s">
        <v>5</v>
      </c>
      <c r="F691" s="11">
        <f>ROUND(C12*880,0)</f>
        <v>9240</v>
      </c>
      <c r="G691" s="35">
        <v>100</v>
      </c>
      <c r="H691" s="17"/>
    </row>
    <row r="692" spans="2:8" s="1" customFormat="1" ht="13.5" customHeight="1" x14ac:dyDescent="0.15">
      <c r="B692" s="33"/>
      <c r="C692" s="7" t="s">
        <v>6</v>
      </c>
      <c r="D692" s="10">
        <v>7</v>
      </c>
      <c r="E692" s="8" t="s">
        <v>7</v>
      </c>
      <c r="F692" s="12">
        <f>ROUND(C12*530,0)</f>
        <v>5565</v>
      </c>
      <c r="G692" s="36"/>
      <c r="H692" s="17"/>
    </row>
    <row r="693" spans="2:8" s="1" customFormat="1" ht="14.25" thickBot="1" x14ac:dyDescent="0.2">
      <c r="B693" s="34"/>
      <c r="C693" s="18" t="s">
        <v>16</v>
      </c>
      <c r="D693" s="19" t="s">
        <v>382</v>
      </c>
      <c r="E693" s="20" t="s">
        <v>17</v>
      </c>
      <c r="F693" s="21" t="s">
        <v>82</v>
      </c>
      <c r="G693" s="22" t="s">
        <v>20</v>
      </c>
      <c r="H693" s="23" t="s">
        <v>37</v>
      </c>
    </row>
    <row r="694" spans="2:8" s="1" customFormat="1" x14ac:dyDescent="0.15">
      <c r="B694" s="13" t="s">
        <v>1</v>
      </c>
      <c r="C694" s="14" t="s">
        <v>0</v>
      </c>
      <c r="D694" s="29" t="s">
        <v>282</v>
      </c>
      <c r="E694" s="30"/>
      <c r="F694" s="31"/>
      <c r="G694" s="15" t="s">
        <v>57</v>
      </c>
      <c r="H694" s="16" t="s">
        <v>46</v>
      </c>
    </row>
    <row r="695" spans="2:8" s="1" customFormat="1" x14ac:dyDescent="0.15">
      <c r="B695" s="32">
        <v>200137</v>
      </c>
      <c r="C695" s="2" t="s">
        <v>2</v>
      </c>
      <c r="D695" s="9">
        <f>ROUND(C12*880,0)</f>
        <v>9240</v>
      </c>
      <c r="E695" s="3" t="s">
        <v>3</v>
      </c>
      <c r="F695" s="11">
        <f>ROUND(C12*980,0)</f>
        <v>10290</v>
      </c>
      <c r="G695" s="4" t="s">
        <v>8</v>
      </c>
      <c r="H695" s="17" t="s">
        <v>27</v>
      </c>
    </row>
    <row r="696" spans="2:8" s="1" customFormat="1" ht="13.5" customHeight="1" x14ac:dyDescent="0.15">
      <c r="B696" s="33"/>
      <c r="C696" s="5" t="s">
        <v>4</v>
      </c>
      <c r="D696" s="9">
        <f>ROUND(C12*680,0)</f>
        <v>7140</v>
      </c>
      <c r="E696" s="6" t="s">
        <v>5</v>
      </c>
      <c r="F696" s="11">
        <f>ROUND(C12*1936,0)</f>
        <v>20328</v>
      </c>
      <c r="G696" s="35">
        <v>100</v>
      </c>
      <c r="H696" s="17"/>
    </row>
    <row r="697" spans="2:8" s="1" customFormat="1" ht="13.5" customHeight="1" x14ac:dyDescent="0.15">
      <c r="B697" s="33"/>
      <c r="C697" s="7" t="s">
        <v>6</v>
      </c>
      <c r="D697" s="10">
        <v>4</v>
      </c>
      <c r="E697" s="8" t="s">
        <v>7</v>
      </c>
      <c r="F697" s="12">
        <f>ROUND(C12*530,0)</f>
        <v>5565</v>
      </c>
      <c r="G697" s="36"/>
      <c r="H697" s="17"/>
    </row>
    <row r="698" spans="2:8" s="1" customFormat="1" ht="14.25" thickBot="1" x14ac:dyDescent="0.2">
      <c r="B698" s="34"/>
      <c r="C698" s="18" t="s">
        <v>16</v>
      </c>
      <c r="D698" s="19" t="s">
        <v>413</v>
      </c>
      <c r="E698" s="20" t="s">
        <v>17</v>
      </c>
      <c r="F698" s="21" t="s">
        <v>100</v>
      </c>
      <c r="G698" s="22" t="s">
        <v>20</v>
      </c>
      <c r="H698" s="23" t="s">
        <v>37</v>
      </c>
    </row>
    <row r="699" spans="2:8" s="1" customFormat="1" x14ac:dyDescent="0.15">
      <c r="B699" s="13" t="s">
        <v>1</v>
      </c>
      <c r="C699" s="14" t="s">
        <v>0</v>
      </c>
      <c r="D699" s="29" t="s">
        <v>283</v>
      </c>
      <c r="E699" s="30"/>
      <c r="F699" s="31"/>
      <c r="G699" s="15" t="s">
        <v>57</v>
      </c>
      <c r="H699" s="16" t="s">
        <v>53</v>
      </c>
    </row>
    <row r="700" spans="2:8" s="1" customFormat="1" x14ac:dyDescent="0.15">
      <c r="B700" s="32">
        <v>200138</v>
      </c>
      <c r="C700" s="2" t="s">
        <v>2</v>
      </c>
      <c r="D700" s="9">
        <f>ROUND(C12*880,0)</f>
        <v>9240</v>
      </c>
      <c r="E700" s="3" t="s">
        <v>3</v>
      </c>
      <c r="F700" s="11">
        <f>ROUND(C12*476,0)</f>
        <v>4998</v>
      </c>
      <c r="G700" s="4" t="s">
        <v>8</v>
      </c>
      <c r="H700" s="17" t="s">
        <v>394</v>
      </c>
    </row>
    <row r="701" spans="2:8" s="1" customFormat="1" ht="13.5" customHeight="1" x14ac:dyDescent="0.15">
      <c r="B701" s="33"/>
      <c r="C701" s="5" t="s">
        <v>4</v>
      </c>
      <c r="D701" s="9">
        <f>ROUND(C12*680,0)</f>
        <v>7140</v>
      </c>
      <c r="E701" s="6" t="s">
        <v>5</v>
      </c>
      <c r="F701" s="11">
        <f>ROUND(C12*880,0)</f>
        <v>9240</v>
      </c>
      <c r="G701" s="35">
        <v>30</v>
      </c>
      <c r="H701" s="17"/>
    </row>
    <row r="702" spans="2:8" s="1" customFormat="1" ht="13.5" customHeight="1" x14ac:dyDescent="0.15">
      <c r="B702" s="33"/>
      <c r="C702" s="7" t="s">
        <v>6</v>
      </c>
      <c r="D702" s="10">
        <v>7</v>
      </c>
      <c r="E702" s="8" t="s">
        <v>7</v>
      </c>
      <c r="F702" s="12">
        <f>ROUND(C12*480,0)</f>
        <v>5040</v>
      </c>
      <c r="G702" s="36"/>
      <c r="H702" s="17"/>
    </row>
    <row r="703" spans="2:8" s="1" customFormat="1" ht="14.25" thickBot="1" x14ac:dyDescent="0.2">
      <c r="B703" s="34"/>
      <c r="C703" s="18" t="s">
        <v>16</v>
      </c>
      <c r="D703" s="19" t="s">
        <v>400</v>
      </c>
      <c r="E703" s="20" t="s">
        <v>17</v>
      </c>
      <c r="F703" s="21" t="s">
        <v>32</v>
      </c>
      <c r="G703" s="22" t="s">
        <v>20</v>
      </c>
      <c r="H703" s="23" t="s">
        <v>284</v>
      </c>
    </row>
    <row r="704" spans="2:8" s="1" customFormat="1" x14ac:dyDescent="0.15">
      <c r="B704" s="13" t="s">
        <v>1</v>
      </c>
      <c r="C704" s="14" t="s">
        <v>0</v>
      </c>
      <c r="D704" s="29" t="s">
        <v>285</v>
      </c>
      <c r="E704" s="30"/>
      <c r="F704" s="31"/>
      <c r="G704" s="15" t="s">
        <v>57</v>
      </c>
      <c r="H704" s="16" t="s">
        <v>35</v>
      </c>
    </row>
    <row r="705" spans="2:8" s="1" customFormat="1" x14ac:dyDescent="0.15">
      <c r="B705" s="32">
        <v>200139</v>
      </c>
      <c r="C705" s="2" t="s">
        <v>2</v>
      </c>
      <c r="D705" s="9">
        <f>ROUND(C12*880,0)</f>
        <v>9240</v>
      </c>
      <c r="E705" s="3" t="s">
        <v>3</v>
      </c>
      <c r="F705" s="11">
        <f>ROUND(C12*476,0)</f>
        <v>4998</v>
      </c>
      <c r="G705" s="4" t="s">
        <v>8</v>
      </c>
      <c r="H705" s="17" t="s">
        <v>23</v>
      </c>
    </row>
    <row r="706" spans="2:8" s="1" customFormat="1" ht="13.5" customHeight="1" x14ac:dyDescent="0.15">
      <c r="B706" s="33"/>
      <c r="C706" s="5" t="s">
        <v>4</v>
      </c>
      <c r="D706" s="9">
        <f>ROUND(C12*680,0)</f>
        <v>7140</v>
      </c>
      <c r="E706" s="6" t="s">
        <v>5</v>
      </c>
      <c r="F706" s="11">
        <f>ROUND(C12*880,0)</f>
        <v>9240</v>
      </c>
      <c r="G706" s="35">
        <v>100</v>
      </c>
      <c r="H706" s="17"/>
    </row>
    <row r="707" spans="2:8" s="1" customFormat="1" ht="13.5" customHeight="1" x14ac:dyDescent="0.15">
      <c r="B707" s="33"/>
      <c r="C707" s="7" t="s">
        <v>6</v>
      </c>
      <c r="D707" s="10">
        <v>7</v>
      </c>
      <c r="E707" s="8" t="s">
        <v>7</v>
      </c>
      <c r="F707" s="12">
        <f>ROUND(C12*480,0)</f>
        <v>5040</v>
      </c>
      <c r="G707" s="36"/>
      <c r="H707" s="17"/>
    </row>
    <row r="708" spans="2:8" s="1" customFormat="1" ht="14.25" thickBot="1" x14ac:dyDescent="0.2">
      <c r="B708" s="34"/>
      <c r="C708" s="18" t="s">
        <v>16</v>
      </c>
      <c r="D708" s="19" t="s">
        <v>402</v>
      </c>
      <c r="E708" s="20" t="s">
        <v>17</v>
      </c>
      <c r="F708" s="21" t="s">
        <v>392</v>
      </c>
      <c r="G708" s="22" t="s">
        <v>20</v>
      </c>
      <c r="H708" s="23" t="s">
        <v>37</v>
      </c>
    </row>
    <row r="709" spans="2:8" s="1" customFormat="1" x14ac:dyDescent="0.15">
      <c r="B709" s="13" t="s">
        <v>1</v>
      </c>
      <c r="C709" s="14" t="s">
        <v>0</v>
      </c>
      <c r="D709" s="29" t="s">
        <v>286</v>
      </c>
      <c r="E709" s="30"/>
      <c r="F709" s="31"/>
      <c r="G709" s="15" t="s">
        <v>57</v>
      </c>
      <c r="H709" s="16" t="s">
        <v>41</v>
      </c>
    </row>
    <row r="710" spans="2:8" s="1" customFormat="1" x14ac:dyDescent="0.15">
      <c r="B710" s="32">
        <v>200140</v>
      </c>
      <c r="C710" s="2" t="s">
        <v>2</v>
      </c>
      <c r="D710" s="9">
        <f>ROUND(C12*880,0)</f>
        <v>9240</v>
      </c>
      <c r="E710" s="3" t="s">
        <v>3</v>
      </c>
      <c r="F710" s="11">
        <f>ROUND(C12*980,0)</f>
        <v>10290</v>
      </c>
      <c r="G710" s="4" t="s">
        <v>8</v>
      </c>
      <c r="H710" s="17" t="s">
        <v>25</v>
      </c>
    </row>
    <row r="711" spans="2:8" s="1" customFormat="1" ht="13.5" customHeight="1" x14ac:dyDescent="0.15">
      <c r="B711" s="33"/>
      <c r="C711" s="5" t="s">
        <v>4</v>
      </c>
      <c r="D711" s="9">
        <f>ROUND(C12*680,0)</f>
        <v>7140</v>
      </c>
      <c r="E711" s="6" t="s">
        <v>5</v>
      </c>
      <c r="F711" s="11">
        <f>ROUND(C12*1936,0)</f>
        <v>20328</v>
      </c>
      <c r="G711" s="35">
        <v>100</v>
      </c>
      <c r="H711" s="17"/>
    </row>
    <row r="712" spans="2:8" s="1" customFormat="1" ht="13.5" customHeight="1" x14ac:dyDescent="0.15">
      <c r="B712" s="33"/>
      <c r="C712" s="7" t="s">
        <v>6</v>
      </c>
      <c r="D712" s="10">
        <v>4</v>
      </c>
      <c r="E712" s="8" t="s">
        <v>7</v>
      </c>
      <c r="F712" s="12">
        <f>ROUND(C12*530,0)</f>
        <v>5565</v>
      </c>
      <c r="G712" s="36"/>
      <c r="H712" s="17"/>
    </row>
    <row r="713" spans="2:8" s="1" customFormat="1" ht="14.25" thickBot="1" x14ac:dyDescent="0.2">
      <c r="B713" s="34"/>
      <c r="C713" s="18" t="s">
        <v>16</v>
      </c>
      <c r="D713" s="19" t="s">
        <v>422</v>
      </c>
      <c r="E713" s="20" t="s">
        <v>17</v>
      </c>
      <c r="F713" s="21" t="s">
        <v>293</v>
      </c>
      <c r="G713" s="22" t="s">
        <v>20</v>
      </c>
      <c r="H713" s="23" t="s">
        <v>37</v>
      </c>
    </row>
    <row r="714" spans="2:8" s="1" customFormat="1" x14ac:dyDescent="0.15">
      <c r="B714" s="13" t="s">
        <v>1</v>
      </c>
      <c r="C714" s="14" t="s">
        <v>0</v>
      </c>
      <c r="D714" s="29" t="s">
        <v>287</v>
      </c>
      <c r="E714" s="30"/>
      <c r="F714" s="31"/>
      <c r="G714" s="15" t="s">
        <v>57</v>
      </c>
      <c r="H714" s="16" t="s">
        <v>74</v>
      </c>
    </row>
    <row r="715" spans="2:8" s="1" customFormat="1" x14ac:dyDescent="0.15">
      <c r="B715" s="32">
        <v>200141</v>
      </c>
      <c r="C715" s="2" t="s">
        <v>2</v>
      </c>
      <c r="D715" s="9">
        <f>ROUND(C12*880,0)</f>
        <v>9240</v>
      </c>
      <c r="E715" s="3" t="s">
        <v>3</v>
      </c>
      <c r="F715" s="11">
        <f>ROUND(C12*476,0)</f>
        <v>4998</v>
      </c>
      <c r="G715" s="4" t="s">
        <v>8</v>
      </c>
      <c r="H715" s="17" t="s">
        <v>75</v>
      </c>
    </row>
    <row r="716" spans="2:8" s="1" customFormat="1" ht="13.5" customHeight="1" x14ac:dyDescent="0.15">
      <c r="B716" s="33"/>
      <c r="C716" s="5" t="s">
        <v>4</v>
      </c>
      <c r="D716" s="9">
        <f>ROUND(C12*680,0)</f>
        <v>7140</v>
      </c>
      <c r="E716" s="6" t="s">
        <v>5</v>
      </c>
      <c r="F716" s="11">
        <f>ROUND(C12*880,0)</f>
        <v>9240</v>
      </c>
      <c r="G716" s="35">
        <v>100</v>
      </c>
      <c r="H716" s="17"/>
    </row>
    <row r="717" spans="2:8" s="1" customFormat="1" ht="13.5" customHeight="1" x14ac:dyDescent="0.15">
      <c r="B717" s="33"/>
      <c r="C717" s="7" t="s">
        <v>6</v>
      </c>
      <c r="D717" s="10">
        <v>7</v>
      </c>
      <c r="E717" s="8" t="s">
        <v>7</v>
      </c>
      <c r="F717" s="12">
        <f>ROUND(C12*530,0)</f>
        <v>5565</v>
      </c>
      <c r="G717" s="36"/>
      <c r="H717" s="17"/>
    </row>
    <row r="718" spans="2:8" s="1" customFormat="1" ht="14.25" thickBot="1" x14ac:dyDescent="0.2">
      <c r="B718" s="34"/>
      <c r="C718" s="18" t="s">
        <v>16</v>
      </c>
      <c r="D718" s="19" t="s">
        <v>419</v>
      </c>
      <c r="E718" s="20" t="s">
        <v>17</v>
      </c>
      <c r="F718" s="21" t="s">
        <v>430</v>
      </c>
      <c r="G718" s="22" t="s">
        <v>20</v>
      </c>
      <c r="H718" s="23" t="s">
        <v>37</v>
      </c>
    </row>
    <row r="719" spans="2:8" s="1" customFormat="1" x14ac:dyDescent="0.15">
      <c r="B719" s="13" t="s">
        <v>1</v>
      </c>
      <c r="C719" s="14" t="s">
        <v>0</v>
      </c>
      <c r="D719" s="29" t="s">
        <v>288</v>
      </c>
      <c r="E719" s="30"/>
      <c r="F719" s="31"/>
      <c r="G719" s="15" t="s">
        <v>57</v>
      </c>
      <c r="H719" s="16" t="s">
        <v>77</v>
      </c>
    </row>
    <row r="720" spans="2:8" s="1" customFormat="1" x14ac:dyDescent="0.15">
      <c r="B720" s="32">
        <v>200142</v>
      </c>
      <c r="C720" s="2" t="s">
        <v>2</v>
      </c>
      <c r="D720" s="9">
        <f>ROUND(C12*880,0)</f>
        <v>9240</v>
      </c>
      <c r="E720" s="3" t="s">
        <v>3</v>
      </c>
      <c r="F720" s="11">
        <f>ROUND(C12*980,0)</f>
        <v>10290</v>
      </c>
      <c r="G720" s="4" t="s">
        <v>8</v>
      </c>
      <c r="H720" s="17" t="s">
        <v>78</v>
      </c>
    </row>
    <row r="721" spans="2:8" s="1" customFormat="1" ht="13.5" customHeight="1" x14ac:dyDescent="0.15">
      <c r="B721" s="33"/>
      <c r="C721" s="5" t="s">
        <v>4</v>
      </c>
      <c r="D721" s="9">
        <f>ROUND(C12*680,0)</f>
        <v>7140</v>
      </c>
      <c r="E721" s="6" t="s">
        <v>5</v>
      </c>
      <c r="F721" s="11">
        <f>ROUND(C12*1936,0)</f>
        <v>20328</v>
      </c>
      <c r="G721" s="35">
        <v>100</v>
      </c>
      <c r="H721" s="17"/>
    </row>
    <row r="722" spans="2:8" s="1" customFormat="1" ht="13.5" customHeight="1" x14ac:dyDescent="0.15">
      <c r="B722" s="33"/>
      <c r="C722" s="7" t="s">
        <v>6</v>
      </c>
      <c r="D722" s="10">
        <v>4</v>
      </c>
      <c r="E722" s="8" t="s">
        <v>7</v>
      </c>
      <c r="F722" s="12">
        <f>ROUND(C12*530,0)</f>
        <v>5565</v>
      </c>
      <c r="G722" s="36"/>
      <c r="H722" s="17"/>
    </row>
    <row r="723" spans="2:8" s="1" customFormat="1" ht="14.25" thickBot="1" x14ac:dyDescent="0.2">
      <c r="B723" s="34"/>
      <c r="C723" s="18" t="s">
        <v>16</v>
      </c>
      <c r="D723" s="19" t="s">
        <v>43</v>
      </c>
      <c r="E723" s="20" t="s">
        <v>17</v>
      </c>
      <c r="F723" s="21" t="s">
        <v>257</v>
      </c>
      <c r="G723" s="22" t="s">
        <v>20</v>
      </c>
      <c r="H723" s="23" t="s">
        <v>37</v>
      </c>
    </row>
    <row r="724" spans="2:8" s="1" customFormat="1" x14ac:dyDescent="0.15">
      <c r="B724" s="13" t="s">
        <v>1</v>
      </c>
      <c r="C724" s="14" t="s">
        <v>0</v>
      </c>
      <c r="D724" s="29" t="s">
        <v>289</v>
      </c>
      <c r="E724" s="30"/>
      <c r="F724" s="31"/>
      <c r="G724" s="15" t="s">
        <v>57</v>
      </c>
      <c r="H724" s="16" t="s">
        <v>84</v>
      </c>
    </row>
    <row r="725" spans="2:8" s="1" customFormat="1" x14ac:dyDescent="0.15">
      <c r="B725" s="32">
        <v>200143</v>
      </c>
      <c r="C725" s="2" t="s">
        <v>2</v>
      </c>
      <c r="D725" s="9">
        <f>ROUND(C12*880,0)</f>
        <v>9240</v>
      </c>
      <c r="E725" s="3" t="s">
        <v>3</v>
      </c>
      <c r="F725" s="11">
        <f>ROUND(C12*476,0)</f>
        <v>4998</v>
      </c>
      <c r="G725" s="4" t="s">
        <v>8</v>
      </c>
      <c r="H725" s="17" t="s">
        <v>398</v>
      </c>
    </row>
    <row r="726" spans="2:8" s="1" customFormat="1" ht="13.5" customHeight="1" x14ac:dyDescent="0.15">
      <c r="B726" s="33"/>
      <c r="C726" s="5" t="s">
        <v>4</v>
      </c>
      <c r="D726" s="9">
        <f>ROUND(C12*680,0)</f>
        <v>7140</v>
      </c>
      <c r="E726" s="6" t="s">
        <v>5</v>
      </c>
      <c r="F726" s="11">
        <f>ROUND(C12*880,0)</f>
        <v>9240</v>
      </c>
      <c r="G726" s="35">
        <v>50</v>
      </c>
      <c r="H726" s="17"/>
    </row>
    <row r="727" spans="2:8" s="1" customFormat="1" ht="13.5" customHeight="1" x14ac:dyDescent="0.15">
      <c r="B727" s="33"/>
      <c r="C727" s="7" t="s">
        <v>6</v>
      </c>
      <c r="D727" s="10">
        <v>7</v>
      </c>
      <c r="E727" s="8" t="s">
        <v>7</v>
      </c>
      <c r="F727" s="12">
        <f>ROUND(C12*480,0)</f>
        <v>5040</v>
      </c>
      <c r="G727" s="36"/>
      <c r="H727" s="17"/>
    </row>
    <row r="728" spans="2:8" s="1" customFormat="1" ht="14.25" thickBot="1" x14ac:dyDescent="0.2">
      <c r="B728" s="34"/>
      <c r="C728" s="18" t="s">
        <v>16</v>
      </c>
      <c r="D728" s="19" t="s">
        <v>390</v>
      </c>
      <c r="E728" s="20" t="s">
        <v>17</v>
      </c>
      <c r="F728" s="21" t="s">
        <v>294</v>
      </c>
      <c r="G728" s="22" t="s">
        <v>20</v>
      </c>
      <c r="H728" s="23" t="s">
        <v>267</v>
      </c>
    </row>
    <row r="729" spans="2:8" s="1" customFormat="1" x14ac:dyDescent="0.15">
      <c r="B729" s="13" t="s">
        <v>1</v>
      </c>
      <c r="C729" s="14" t="s">
        <v>0</v>
      </c>
      <c r="D729" s="29" t="s">
        <v>290</v>
      </c>
      <c r="E729" s="30"/>
      <c r="F729" s="31"/>
      <c r="G729" s="15" t="s">
        <v>57</v>
      </c>
      <c r="H729" s="16" t="s">
        <v>55</v>
      </c>
    </row>
    <row r="730" spans="2:8" s="1" customFormat="1" x14ac:dyDescent="0.15">
      <c r="B730" s="32">
        <v>200144</v>
      </c>
      <c r="C730" s="2" t="s">
        <v>2</v>
      </c>
      <c r="D730" s="9">
        <f>ROUND(C12*880,0)</f>
        <v>9240</v>
      </c>
      <c r="E730" s="3" t="s">
        <v>3</v>
      </c>
      <c r="F730" s="11">
        <f>ROUND(C12*476,0)</f>
        <v>4998</v>
      </c>
      <c r="G730" s="4" t="s">
        <v>8</v>
      </c>
      <c r="H730" s="17" t="s">
        <v>30</v>
      </c>
    </row>
    <row r="731" spans="2:8" s="1" customFormat="1" ht="13.5" customHeight="1" x14ac:dyDescent="0.15">
      <c r="B731" s="33"/>
      <c r="C731" s="5" t="s">
        <v>4</v>
      </c>
      <c r="D731" s="9">
        <f>ROUND(C12*680,0)</f>
        <v>7140</v>
      </c>
      <c r="E731" s="6" t="s">
        <v>5</v>
      </c>
      <c r="F731" s="11">
        <f>ROUND(C12*880,0)</f>
        <v>9240</v>
      </c>
      <c r="G731" s="35">
        <v>100</v>
      </c>
      <c r="H731" s="17"/>
    </row>
    <row r="732" spans="2:8" s="1" customFormat="1" ht="13.5" customHeight="1" x14ac:dyDescent="0.15">
      <c r="B732" s="33"/>
      <c r="C732" s="7" t="s">
        <v>6</v>
      </c>
      <c r="D732" s="10">
        <v>7</v>
      </c>
      <c r="E732" s="8" t="s">
        <v>7</v>
      </c>
      <c r="F732" s="12">
        <f>ROUND(C12*480,0)</f>
        <v>5040</v>
      </c>
      <c r="G732" s="36"/>
      <c r="H732" s="17"/>
    </row>
    <row r="733" spans="2:8" s="1" customFormat="1" ht="14.25" thickBot="1" x14ac:dyDescent="0.2">
      <c r="B733" s="34"/>
      <c r="C733" s="18" t="s">
        <v>16</v>
      </c>
      <c r="D733" s="19" t="s">
        <v>400</v>
      </c>
      <c r="E733" s="20" t="s">
        <v>17</v>
      </c>
      <c r="F733" s="21" t="s">
        <v>71</v>
      </c>
      <c r="G733" s="22" t="s">
        <v>20</v>
      </c>
      <c r="H733" s="23" t="s">
        <v>37</v>
      </c>
    </row>
    <row r="734" spans="2:8" s="1" customFormat="1" x14ac:dyDescent="0.15">
      <c r="B734" s="13" t="s">
        <v>1</v>
      </c>
      <c r="C734" s="14" t="s">
        <v>0</v>
      </c>
      <c r="D734" s="29" t="s">
        <v>291</v>
      </c>
      <c r="E734" s="30"/>
      <c r="F734" s="31"/>
      <c r="G734" s="15" t="s">
        <v>57</v>
      </c>
      <c r="H734" s="16" t="s">
        <v>91</v>
      </c>
    </row>
    <row r="735" spans="2:8" s="1" customFormat="1" x14ac:dyDescent="0.15">
      <c r="B735" s="32">
        <v>200145</v>
      </c>
      <c r="C735" s="2" t="s">
        <v>2</v>
      </c>
      <c r="D735" s="9">
        <f>ROUND(C12*880,0)</f>
        <v>9240</v>
      </c>
      <c r="E735" s="3" t="s">
        <v>3</v>
      </c>
      <c r="F735" s="11">
        <f>ROUND(C12*476,0)</f>
        <v>4998</v>
      </c>
      <c r="G735" s="4" t="s">
        <v>8</v>
      </c>
      <c r="H735" s="17" t="s">
        <v>92</v>
      </c>
    </row>
    <row r="736" spans="2:8" s="1" customFormat="1" ht="13.5" customHeight="1" x14ac:dyDescent="0.15">
      <c r="B736" s="33"/>
      <c r="C736" s="5" t="s">
        <v>4</v>
      </c>
      <c r="D736" s="9">
        <f>ROUND(C12*680,0)</f>
        <v>7140</v>
      </c>
      <c r="E736" s="6" t="s">
        <v>5</v>
      </c>
      <c r="F736" s="11">
        <f>ROUND(C12*880,0)</f>
        <v>9240</v>
      </c>
      <c r="G736" s="35">
        <v>100</v>
      </c>
      <c r="H736" s="17"/>
    </row>
    <row r="737" spans="2:8" s="1" customFormat="1" ht="13.5" customHeight="1" x14ac:dyDescent="0.15">
      <c r="B737" s="33"/>
      <c r="C737" s="7" t="s">
        <v>6</v>
      </c>
      <c r="D737" s="10">
        <v>7</v>
      </c>
      <c r="E737" s="8" t="s">
        <v>7</v>
      </c>
      <c r="F737" s="12">
        <f>ROUND(C12*530,0)</f>
        <v>5565</v>
      </c>
      <c r="G737" s="36"/>
      <c r="H737" s="17"/>
    </row>
    <row r="738" spans="2:8" s="1" customFormat="1" ht="14.25" thickBot="1" x14ac:dyDescent="0.2">
      <c r="B738" s="34"/>
      <c r="C738" s="18" t="s">
        <v>16</v>
      </c>
      <c r="D738" s="19" t="s">
        <v>402</v>
      </c>
      <c r="E738" s="20" t="s">
        <v>17</v>
      </c>
      <c r="F738" s="21" t="s">
        <v>48</v>
      </c>
      <c r="G738" s="22" t="s">
        <v>20</v>
      </c>
      <c r="H738" s="23" t="s">
        <v>37</v>
      </c>
    </row>
    <row r="739" spans="2:8" s="1" customFormat="1" x14ac:dyDescent="0.15">
      <c r="B739" s="13" t="s">
        <v>1</v>
      </c>
      <c r="C739" s="14" t="s">
        <v>0</v>
      </c>
      <c r="D739" s="29" t="s">
        <v>292</v>
      </c>
      <c r="E739" s="30"/>
      <c r="F739" s="31"/>
      <c r="G739" s="15" t="s">
        <v>57</v>
      </c>
      <c r="H739" s="16" t="s">
        <v>98</v>
      </c>
    </row>
    <row r="740" spans="2:8" s="1" customFormat="1" x14ac:dyDescent="0.15">
      <c r="B740" s="32">
        <v>200146</v>
      </c>
      <c r="C740" s="2" t="s">
        <v>2</v>
      </c>
      <c r="D740" s="9">
        <f>ROUND(C12*880,0)</f>
        <v>9240</v>
      </c>
      <c r="E740" s="3" t="s">
        <v>3</v>
      </c>
      <c r="F740" s="11">
        <f>ROUND(C12*980,0)</f>
        <v>10290</v>
      </c>
      <c r="G740" s="4" t="s">
        <v>8</v>
      </c>
      <c r="H740" s="17" t="s">
        <v>99</v>
      </c>
    </row>
    <row r="741" spans="2:8" s="1" customFormat="1" ht="13.5" customHeight="1" x14ac:dyDescent="0.15">
      <c r="B741" s="33"/>
      <c r="C741" s="5" t="s">
        <v>4</v>
      </c>
      <c r="D741" s="9">
        <f>ROUND(C12*680,0)</f>
        <v>7140</v>
      </c>
      <c r="E741" s="6" t="s">
        <v>5</v>
      </c>
      <c r="F741" s="11">
        <f>ROUND(C12*1936,0)</f>
        <v>20328</v>
      </c>
      <c r="G741" s="35">
        <v>100</v>
      </c>
      <c r="H741" s="17"/>
    </row>
    <row r="742" spans="2:8" s="1" customFormat="1" ht="13.5" customHeight="1" x14ac:dyDescent="0.15">
      <c r="B742" s="33"/>
      <c r="C742" s="7" t="s">
        <v>6</v>
      </c>
      <c r="D742" s="10">
        <v>4</v>
      </c>
      <c r="E742" s="8" t="s">
        <v>7</v>
      </c>
      <c r="F742" s="12">
        <f>ROUND(C12*530,0)</f>
        <v>5565</v>
      </c>
      <c r="G742" s="36"/>
      <c r="H742" s="17"/>
    </row>
    <row r="743" spans="2:8" s="1" customFormat="1" ht="14.25" thickBot="1" x14ac:dyDescent="0.2">
      <c r="B743" s="34"/>
      <c r="C743" s="18" t="s">
        <v>16</v>
      </c>
      <c r="D743" s="19" t="s">
        <v>400</v>
      </c>
      <c r="E743" s="20" t="s">
        <v>17</v>
      </c>
      <c r="F743" s="21" t="s">
        <v>32</v>
      </c>
      <c r="G743" s="22" t="s">
        <v>20</v>
      </c>
      <c r="H743" s="23" t="s">
        <v>37</v>
      </c>
    </row>
    <row r="744" spans="2:8" s="1" customFormat="1" x14ac:dyDescent="0.15">
      <c r="B744" s="13" t="s">
        <v>1</v>
      </c>
      <c r="C744" s="14" t="s">
        <v>0</v>
      </c>
      <c r="D744" s="29" t="s">
        <v>295</v>
      </c>
      <c r="E744" s="30"/>
      <c r="F744" s="31"/>
      <c r="G744" s="15" t="s">
        <v>57</v>
      </c>
      <c r="H744" s="16" t="s">
        <v>159</v>
      </c>
    </row>
    <row r="745" spans="2:8" s="1" customFormat="1" x14ac:dyDescent="0.15">
      <c r="B745" s="32">
        <v>200147</v>
      </c>
      <c r="C745" s="2" t="s">
        <v>2</v>
      </c>
      <c r="D745" s="9">
        <f>ROUND(C12*880,0)</f>
        <v>9240</v>
      </c>
      <c r="E745" s="3" t="s">
        <v>3</v>
      </c>
      <c r="F745" s="11">
        <f>ROUND(C12*476,0)</f>
        <v>4998</v>
      </c>
      <c r="G745" s="4" t="s">
        <v>8</v>
      </c>
      <c r="H745" s="17" t="s">
        <v>160</v>
      </c>
    </row>
    <row r="746" spans="2:8" s="1" customFormat="1" ht="13.5" customHeight="1" x14ac:dyDescent="0.15">
      <c r="B746" s="33"/>
      <c r="C746" s="5" t="s">
        <v>4</v>
      </c>
      <c r="D746" s="9">
        <f>ROUND(C12*680,0)</f>
        <v>7140</v>
      </c>
      <c r="E746" s="6" t="s">
        <v>5</v>
      </c>
      <c r="F746" s="11">
        <f>ROUND(C12*880,0)</f>
        <v>9240</v>
      </c>
      <c r="G746" s="35">
        <v>50</v>
      </c>
      <c r="H746" s="17"/>
    </row>
    <row r="747" spans="2:8" s="1" customFormat="1" ht="13.5" customHeight="1" x14ac:dyDescent="0.15">
      <c r="B747" s="33"/>
      <c r="C747" s="7" t="s">
        <v>6</v>
      </c>
      <c r="D747" s="10">
        <v>7</v>
      </c>
      <c r="E747" s="8" t="s">
        <v>7</v>
      </c>
      <c r="F747" s="12">
        <f>ROUND(C12*480,0)</f>
        <v>5040</v>
      </c>
      <c r="G747" s="36"/>
      <c r="H747" s="17"/>
    </row>
    <row r="748" spans="2:8" s="1" customFormat="1" ht="14.25" thickBot="1" x14ac:dyDescent="0.2">
      <c r="B748" s="34"/>
      <c r="C748" s="18" t="s">
        <v>16</v>
      </c>
      <c r="D748" s="19" t="s">
        <v>413</v>
      </c>
      <c r="E748" s="20" t="s">
        <v>17</v>
      </c>
      <c r="F748" s="21" t="s">
        <v>100</v>
      </c>
      <c r="G748" s="22" t="s">
        <v>20</v>
      </c>
      <c r="H748" s="23" t="s">
        <v>125</v>
      </c>
    </row>
    <row r="749" spans="2:8" s="1" customFormat="1" x14ac:dyDescent="0.15">
      <c r="B749" s="13" t="s">
        <v>1</v>
      </c>
      <c r="C749" s="14" t="s">
        <v>0</v>
      </c>
      <c r="D749" s="29" t="s">
        <v>296</v>
      </c>
      <c r="E749" s="30"/>
      <c r="F749" s="31"/>
      <c r="G749" s="15" t="s">
        <v>57</v>
      </c>
      <c r="H749" s="16" t="s">
        <v>41</v>
      </c>
    </row>
    <row r="750" spans="2:8" s="1" customFormat="1" x14ac:dyDescent="0.15">
      <c r="B750" s="32">
        <v>200148</v>
      </c>
      <c r="C750" s="2" t="s">
        <v>2</v>
      </c>
      <c r="D750" s="9">
        <f>ROUND(C12*880,0)</f>
        <v>9240</v>
      </c>
      <c r="E750" s="3" t="s">
        <v>3</v>
      </c>
      <c r="F750" s="11">
        <f>ROUND(C12*476,0)</f>
        <v>4998</v>
      </c>
      <c r="G750" s="4" t="s">
        <v>8</v>
      </c>
      <c r="H750" s="17" t="s">
        <v>25</v>
      </c>
    </row>
    <row r="751" spans="2:8" s="1" customFormat="1" ht="13.5" customHeight="1" x14ac:dyDescent="0.15">
      <c r="B751" s="33"/>
      <c r="C751" s="5" t="s">
        <v>4</v>
      </c>
      <c r="D751" s="9">
        <f>ROUND(C12*680,0)</f>
        <v>7140</v>
      </c>
      <c r="E751" s="6" t="s">
        <v>5</v>
      </c>
      <c r="F751" s="11">
        <f>ROUND(C12*880,0)</f>
        <v>9240</v>
      </c>
      <c r="G751" s="35">
        <v>100</v>
      </c>
      <c r="H751" s="17"/>
    </row>
    <row r="752" spans="2:8" s="1" customFormat="1" ht="13.5" customHeight="1" x14ac:dyDescent="0.15">
      <c r="B752" s="33"/>
      <c r="C752" s="7" t="s">
        <v>6</v>
      </c>
      <c r="D752" s="10">
        <v>7</v>
      </c>
      <c r="E752" s="8" t="s">
        <v>7</v>
      </c>
      <c r="F752" s="12">
        <f>ROUND(C12*480,0)</f>
        <v>5040</v>
      </c>
      <c r="G752" s="36"/>
      <c r="H752" s="17"/>
    </row>
    <row r="753" spans="2:8" s="1" customFormat="1" ht="14.25" thickBot="1" x14ac:dyDescent="0.2">
      <c r="B753" s="34"/>
      <c r="C753" s="18" t="s">
        <v>16</v>
      </c>
      <c r="D753" s="19" t="s">
        <v>382</v>
      </c>
      <c r="E753" s="20" t="s">
        <v>17</v>
      </c>
      <c r="F753" s="21" t="s">
        <v>257</v>
      </c>
      <c r="G753" s="22" t="s">
        <v>20</v>
      </c>
      <c r="H753" s="23" t="s">
        <v>37</v>
      </c>
    </row>
    <row r="754" spans="2:8" s="1" customFormat="1" x14ac:dyDescent="0.15">
      <c r="B754" s="13" t="s">
        <v>1</v>
      </c>
      <c r="C754" s="14" t="s">
        <v>0</v>
      </c>
      <c r="D754" s="29" t="s">
        <v>297</v>
      </c>
      <c r="E754" s="30"/>
      <c r="F754" s="31"/>
      <c r="G754" s="15" t="s">
        <v>57</v>
      </c>
      <c r="H754" s="16" t="s">
        <v>35</v>
      </c>
    </row>
    <row r="755" spans="2:8" s="1" customFormat="1" x14ac:dyDescent="0.15">
      <c r="B755" s="32">
        <v>200149</v>
      </c>
      <c r="C755" s="2" t="s">
        <v>2</v>
      </c>
      <c r="D755" s="9">
        <f>ROUND(C12*880,0)</f>
        <v>9240</v>
      </c>
      <c r="E755" s="3" t="s">
        <v>3</v>
      </c>
      <c r="F755" s="11">
        <f>ROUND(C12*980,0)</f>
        <v>10290</v>
      </c>
      <c r="G755" s="4" t="s">
        <v>8</v>
      </c>
      <c r="H755" s="17" t="s">
        <v>23</v>
      </c>
    </row>
    <row r="756" spans="2:8" s="1" customFormat="1" ht="13.5" customHeight="1" x14ac:dyDescent="0.15">
      <c r="B756" s="33"/>
      <c r="C756" s="5" t="s">
        <v>4</v>
      </c>
      <c r="D756" s="9">
        <f>ROUND(C12*680,0)</f>
        <v>7140</v>
      </c>
      <c r="E756" s="6" t="s">
        <v>5</v>
      </c>
      <c r="F756" s="11">
        <f>ROUND(C12*1936,0)</f>
        <v>20328</v>
      </c>
      <c r="G756" s="35">
        <v>100</v>
      </c>
      <c r="H756" s="17"/>
    </row>
    <row r="757" spans="2:8" s="1" customFormat="1" ht="13.5" customHeight="1" x14ac:dyDescent="0.15">
      <c r="B757" s="33"/>
      <c r="C757" s="7" t="s">
        <v>6</v>
      </c>
      <c r="D757" s="10">
        <v>4</v>
      </c>
      <c r="E757" s="8" t="s">
        <v>7</v>
      </c>
      <c r="F757" s="12">
        <f>ROUND(C12*530,0)</f>
        <v>5565</v>
      </c>
      <c r="G757" s="36"/>
      <c r="H757" s="17"/>
    </row>
    <row r="758" spans="2:8" s="1" customFormat="1" ht="14.25" thickBot="1" x14ac:dyDescent="0.2">
      <c r="B758" s="34"/>
      <c r="C758" s="18" t="s">
        <v>16</v>
      </c>
      <c r="D758" s="19" t="s">
        <v>393</v>
      </c>
      <c r="E758" s="20" t="s">
        <v>17</v>
      </c>
      <c r="F758" s="21" t="s">
        <v>56</v>
      </c>
      <c r="G758" s="22" t="s">
        <v>20</v>
      </c>
      <c r="H758" s="23" t="s">
        <v>37</v>
      </c>
    </row>
    <row r="759" spans="2:8" s="1" customFormat="1" x14ac:dyDescent="0.15">
      <c r="B759" s="13" t="s">
        <v>1</v>
      </c>
      <c r="C759" s="14" t="s">
        <v>0</v>
      </c>
      <c r="D759" s="29" t="s">
        <v>298</v>
      </c>
      <c r="E759" s="30"/>
      <c r="F759" s="31"/>
      <c r="G759" s="15" t="s">
        <v>57</v>
      </c>
      <c r="H759" s="16" t="s">
        <v>116</v>
      </c>
    </row>
    <row r="760" spans="2:8" s="1" customFormat="1" x14ac:dyDescent="0.15">
      <c r="B760" s="32">
        <v>200150</v>
      </c>
      <c r="C760" s="2" t="s">
        <v>2</v>
      </c>
      <c r="D760" s="9">
        <f>ROUND(C12*880,0)</f>
        <v>9240</v>
      </c>
      <c r="E760" s="3" t="s">
        <v>3</v>
      </c>
      <c r="F760" s="11">
        <f>ROUND(C12*980,0)</f>
        <v>10290</v>
      </c>
      <c r="G760" s="4" t="s">
        <v>8</v>
      </c>
      <c r="H760" s="17" t="s">
        <v>117</v>
      </c>
    </row>
    <row r="761" spans="2:8" s="1" customFormat="1" ht="13.5" customHeight="1" x14ac:dyDescent="0.15">
      <c r="B761" s="33"/>
      <c r="C761" s="5" t="s">
        <v>4</v>
      </c>
      <c r="D761" s="9">
        <f>ROUND(C12*680,0)</f>
        <v>7140</v>
      </c>
      <c r="E761" s="6" t="s">
        <v>5</v>
      </c>
      <c r="F761" s="11">
        <f>ROUND(C12*1936,0)</f>
        <v>20328</v>
      </c>
      <c r="G761" s="35">
        <v>100</v>
      </c>
      <c r="H761" s="17"/>
    </row>
    <row r="762" spans="2:8" s="1" customFormat="1" ht="13.5" customHeight="1" x14ac:dyDescent="0.15">
      <c r="B762" s="33"/>
      <c r="C762" s="7" t="s">
        <v>6</v>
      </c>
      <c r="D762" s="10">
        <v>4</v>
      </c>
      <c r="E762" s="8" t="s">
        <v>7</v>
      </c>
      <c r="F762" s="12">
        <f>ROUND(C12*530,0)</f>
        <v>5565</v>
      </c>
      <c r="G762" s="36"/>
      <c r="H762" s="17"/>
    </row>
    <row r="763" spans="2:8" s="1" customFormat="1" ht="14.25" thickBot="1" x14ac:dyDescent="0.2">
      <c r="B763" s="34"/>
      <c r="C763" s="18" t="s">
        <v>16</v>
      </c>
      <c r="D763" s="19" t="s">
        <v>419</v>
      </c>
      <c r="E763" s="20" t="s">
        <v>17</v>
      </c>
      <c r="F763" s="21" t="s">
        <v>421</v>
      </c>
      <c r="G763" s="22" t="s">
        <v>20</v>
      </c>
      <c r="H763" s="23" t="s">
        <v>37</v>
      </c>
    </row>
    <row r="764" spans="2:8" s="1" customFormat="1" x14ac:dyDescent="0.15">
      <c r="B764" s="13" t="s">
        <v>1</v>
      </c>
      <c r="C764" s="14" t="s">
        <v>0</v>
      </c>
      <c r="D764" s="29" t="s">
        <v>299</v>
      </c>
      <c r="E764" s="30"/>
      <c r="F764" s="31"/>
      <c r="G764" s="15" t="s">
        <v>57</v>
      </c>
      <c r="H764" s="16" t="s">
        <v>163</v>
      </c>
    </row>
    <row r="765" spans="2:8" s="1" customFormat="1" x14ac:dyDescent="0.15">
      <c r="B765" s="32">
        <v>200151</v>
      </c>
      <c r="C765" s="2" t="s">
        <v>2</v>
      </c>
      <c r="D765" s="9">
        <f>ROUND(C12*880,0)</f>
        <v>9240</v>
      </c>
      <c r="E765" s="3" t="s">
        <v>3</v>
      </c>
      <c r="F765" s="11">
        <f>ROUND(C12*476,0)</f>
        <v>4998</v>
      </c>
      <c r="G765" s="4" t="s">
        <v>8</v>
      </c>
      <c r="H765" s="17" t="s">
        <v>164</v>
      </c>
    </row>
    <row r="766" spans="2:8" s="1" customFormat="1" ht="13.5" customHeight="1" x14ac:dyDescent="0.15">
      <c r="B766" s="33"/>
      <c r="C766" s="5" t="s">
        <v>4</v>
      </c>
      <c r="D766" s="9">
        <f>ROUND(C12*680,0)</f>
        <v>7140</v>
      </c>
      <c r="E766" s="6" t="s">
        <v>5</v>
      </c>
      <c r="F766" s="11">
        <f>ROUND(C12*880,0)</f>
        <v>9240</v>
      </c>
      <c r="G766" s="35">
        <v>50</v>
      </c>
      <c r="H766" s="17"/>
    </row>
    <row r="767" spans="2:8" s="1" customFormat="1" ht="13.5" customHeight="1" x14ac:dyDescent="0.15">
      <c r="B767" s="33"/>
      <c r="C767" s="7" t="s">
        <v>6</v>
      </c>
      <c r="D767" s="10">
        <v>7</v>
      </c>
      <c r="E767" s="8" t="s">
        <v>7</v>
      </c>
      <c r="F767" s="12">
        <f>ROUND(C12*480,0)</f>
        <v>5040</v>
      </c>
      <c r="G767" s="36"/>
      <c r="H767" s="17"/>
    </row>
    <row r="768" spans="2:8" s="1" customFormat="1" ht="14.25" thickBot="1" x14ac:dyDescent="0.2">
      <c r="B768" s="34"/>
      <c r="C768" s="18" t="s">
        <v>16</v>
      </c>
      <c r="D768" s="19" t="s">
        <v>429</v>
      </c>
      <c r="E768" s="20" t="s">
        <v>17</v>
      </c>
      <c r="F768" s="21" t="s">
        <v>54</v>
      </c>
      <c r="G768" s="22" t="s">
        <v>20</v>
      </c>
      <c r="H768" s="23" t="s">
        <v>37</v>
      </c>
    </row>
    <row r="769" spans="2:8" s="1" customFormat="1" x14ac:dyDescent="0.15">
      <c r="B769" s="13" t="s">
        <v>1</v>
      </c>
      <c r="C769" s="14" t="s">
        <v>0</v>
      </c>
      <c r="D769" s="29" t="s">
        <v>300</v>
      </c>
      <c r="E769" s="30"/>
      <c r="F769" s="31"/>
      <c r="G769" s="15" t="s">
        <v>57</v>
      </c>
      <c r="H769" s="16" t="s">
        <v>128</v>
      </c>
    </row>
    <row r="770" spans="2:8" s="1" customFormat="1" x14ac:dyDescent="0.15">
      <c r="B770" s="32">
        <v>200152</v>
      </c>
      <c r="C770" s="2" t="s">
        <v>2</v>
      </c>
      <c r="D770" s="9">
        <f>ROUND(C12*880,0)</f>
        <v>9240</v>
      </c>
      <c r="E770" s="3" t="s">
        <v>3</v>
      </c>
      <c r="F770" s="11">
        <f>ROUND(C12*476,0)</f>
        <v>4998</v>
      </c>
      <c r="G770" s="4" t="s">
        <v>8</v>
      </c>
      <c r="H770" s="17" t="s">
        <v>129</v>
      </c>
    </row>
    <row r="771" spans="2:8" s="1" customFormat="1" ht="13.5" customHeight="1" x14ac:dyDescent="0.15">
      <c r="B771" s="33"/>
      <c r="C771" s="5" t="s">
        <v>4</v>
      </c>
      <c r="D771" s="9">
        <f>ROUND(C12*680,0)</f>
        <v>7140</v>
      </c>
      <c r="E771" s="6" t="s">
        <v>5</v>
      </c>
      <c r="F771" s="11">
        <f>ROUND(C12*880,0)</f>
        <v>9240</v>
      </c>
      <c r="G771" s="35">
        <v>100</v>
      </c>
      <c r="H771" s="17"/>
    </row>
    <row r="772" spans="2:8" s="1" customFormat="1" ht="13.5" customHeight="1" x14ac:dyDescent="0.15">
      <c r="B772" s="33"/>
      <c r="C772" s="7" t="s">
        <v>6</v>
      </c>
      <c r="D772" s="10">
        <v>7</v>
      </c>
      <c r="E772" s="8" t="s">
        <v>7</v>
      </c>
      <c r="F772" s="12">
        <f>ROUND(C12*530,0)</f>
        <v>5565</v>
      </c>
      <c r="G772" s="36"/>
      <c r="H772" s="17"/>
    </row>
    <row r="773" spans="2:8" s="1" customFormat="1" ht="14.25" thickBot="1" x14ac:dyDescent="0.2">
      <c r="B773" s="34"/>
      <c r="C773" s="18" t="s">
        <v>16</v>
      </c>
      <c r="D773" s="19" t="s">
        <v>432</v>
      </c>
      <c r="E773" s="20" t="s">
        <v>17</v>
      </c>
      <c r="F773" s="21" t="s">
        <v>36</v>
      </c>
      <c r="G773" s="22" t="s">
        <v>20</v>
      </c>
      <c r="H773" s="23" t="s">
        <v>37</v>
      </c>
    </row>
    <row r="774" spans="2:8" s="1" customFormat="1" x14ac:dyDescent="0.15">
      <c r="B774" s="13" t="s">
        <v>1</v>
      </c>
      <c r="C774" s="14" t="s">
        <v>0</v>
      </c>
      <c r="D774" s="29" t="s">
        <v>301</v>
      </c>
      <c r="E774" s="30"/>
      <c r="F774" s="31"/>
      <c r="G774" s="15" t="s">
        <v>57</v>
      </c>
      <c r="H774" s="16" t="s">
        <v>146</v>
      </c>
    </row>
    <row r="775" spans="2:8" s="1" customFormat="1" x14ac:dyDescent="0.15">
      <c r="B775" s="32">
        <v>200153</v>
      </c>
      <c r="C775" s="2" t="s">
        <v>2</v>
      </c>
      <c r="D775" s="9">
        <f>ROUND(C12*880,0)</f>
        <v>9240</v>
      </c>
      <c r="E775" s="3" t="s">
        <v>3</v>
      </c>
      <c r="F775" s="11">
        <f>ROUND(C12*476,0)</f>
        <v>4998</v>
      </c>
      <c r="G775" s="4" t="s">
        <v>8</v>
      </c>
      <c r="H775" s="17" t="s">
        <v>147</v>
      </c>
    </row>
    <row r="776" spans="2:8" s="1" customFormat="1" ht="13.5" customHeight="1" x14ac:dyDescent="0.15">
      <c r="B776" s="33"/>
      <c r="C776" s="5" t="s">
        <v>4</v>
      </c>
      <c r="D776" s="9">
        <f>ROUND(C12*680,0)</f>
        <v>7140</v>
      </c>
      <c r="E776" s="6" t="s">
        <v>5</v>
      </c>
      <c r="F776" s="11">
        <f>ROUND(C12*880,0)</f>
        <v>9240</v>
      </c>
      <c r="G776" s="35">
        <v>100</v>
      </c>
      <c r="H776" s="17"/>
    </row>
    <row r="777" spans="2:8" s="1" customFormat="1" ht="13.5" customHeight="1" x14ac:dyDescent="0.15">
      <c r="B777" s="33"/>
      <c r="C777" s="7" t="s">
        <v>6</v>
      </c>
      <c r="D777" s="10">
        <v>7</v>
      </c>
      <c r="E777" s="8" t="s">
        <v>7</v>
      </c>
      <c r="F777" s="12">
        <f>ROUND(C12*530,0)</f>
        <v>5565</v>
      </c>
      <c r="G777" s="36"/>
      <c r="H777" s="17"/>
    </row>
    <row r="778" spans="2:8" s="1" customFormat="1" ht="14.25" thickBot="1" x14ac:dyDescent="0.2">
      <c r="B778" s="34"/>
      <c r="C778" s="18" t="s">
        <v>16</v>
      </c>
      <c r="D778" s="19" t="s">
        <v>32</v>
      </c>
      <c r="E778" s="20" t="s">
        <v>17</v>
      </c>
      <c r="F778" s="21" t="s">
        <v>36</v>
      </c>
      <c r="G778" s="22" t="s">
        <v>20</v>
      </c>
      <c r="H778" s="23" t="s">
        <v>37</v>
      </c>
    </row>
    <row r="779" spans="2:8" s="1" customFormat="1" x14ac:dyDescent="0.15">
      <c r="B779" s="13" t="s">
        <v>1</v>
      </c>
      <c r="C779" s="14" t="s">
        <v>0</v>
      </c>
      <c r="D779" s="29" t="s">
        <v>302</v>
      </c>
      <c r="E779" s="30"/>
      <c r="F779" s="31"/>
      <c r="G779" s="15" t="s">
        <v>57</v>
      </c>
      <c r="H779" s="16" t="s">
        <v>116</v>
      </c>
    </row>
    <row r="780" spans="2:8" s="1" customFormat="1" x14ac:dyDescent="0.15">
      <c r="B780" s="32">
        <v>200154</v>
      </c>
      <c r="C780" s="2" t="s">
        <v>2</v>
      </c>
      <c r="D780" s="9">
        <f>ROUND(C12*880,0)</f>
        <v>9240</v>
      </c>
      <c r="E780" s="3" t="s">
        <v>3</v>
      </c>
      <c r="F780" s="11">
        <f>ROUND(C12*476,0)</f>
        <v>4998</v>
      </c>
      <c r="G780" s="4" t="s">
        <v>8</v>
      </c>
      <c r="H780" s="17" t="s">
        <v>117</v>
      </c>
    </row>
    <row r="781" spans="2:8" s="1" customFormat="1" ht="13.5" customHeight="1" x14ac:dyDescent="0.15">
      <c r="B781" s="33"/>
      <c r="C781" s="5" t="s">
        <v>4</v>
      </c>
      <c r="D781" s="9">
        <f>ROUND(C12*680,0)</f>
        <v>7140</v>
      </c>
      <c r="E781" s="6" t="s">
        <v>5</v>
      </c>
      <c r="F781" s="11">
        <f>ROUND(C12*880,0)</f>
        <v>9240</v>
      </c>
      <c r="G781" s="35">
        <v>100</v>
      </c>
      <c r="H781" s="17"/>
    </row>
    <row r="782" spans="2:8" s="1" customFormat="1" ht="13.5" customHeight="1" x14ac:dyDescent="0.15">
      <c r="B782" s="33"/>
      <c r="C782" s="7" t="s">
        <v>6</v>
      </c>
      <c r="D782" s="10">
        <v>7</v>
      </c>
      <c r="E782" s="8" t="s">
        <v>7</v>
      </c>
      <c r="F782" s="12">
        <f>ROUND(C12*530,0)</f>
        <v>5565</v>
      </c>
      <c r="G782" s="36"/>
      <c r="H782" s="17"/>
    </row>
    <row r="783" spans="2:8" s="1" customFormat="1" ht="14.25" thickBot="1" x14ac:dyDescent="0.2">
      <c r="B783" s="34"/>
      <c r="C783" s="18" t="s">
        <v>16</v>
      </c>
      <c r="D783" s="19" t="s">
        <v>48</v>
      </c>
      <c r="E783" s="20" t="s">
        <v>17</v>
      </c>
      <c r="F783" s="21" t="s">
        <v>418</v>
      </c>
      <c r="G783" s="22" t="s">
        <v>20</v>
      </c>
      <c r="H783" s="23" t="s">
        <v>37</v>
      </c>
    </row>
    <row r="784" spans="2:8" s="1" customFormat="1" x14ac:dyDescent="0.15">
      <c r="B784" s="13" t="s">
        <v>1</v>
      </c>
      <c r="C784" s="14" t="s">
        <v>0</v>
      </c>
      <c r="D784" s="29" t="s">
        <v>303</v>
      </c>
      <c r="E784" s="30"/>
      <c r="F784" s="31"/>
      <c r="G784" s="15" t="s">
        <v>57</v>
      </c>
      <c r="H784" s="16" t="s">
        <v>131</v>
      </c>
    </row>
    <row r="785" spans="2:8" s="1" customFormat="1" x14ac:dyDescent="0.15">
      <c r="B785" s="32">
        <v>200155</v>
      </c>
      <c r="C785" s="2" t="s">
        <v>2</v>
      </c>
      <c r="D785" s="9">
        <f>ROUND(C12*880,0)</f>
        <v>9240</v>
      </c>
      <c r="E785" s="3" t="s">
        <v>3</v>
      </c>
      <c r="F785" s="11">
        <f>ROUND(C12*476,0)</f>
        <v>4998</v>
      </c>
      <c r="G785" s="4" t="s">
        <v>8</v>
      </c>
      <c r="H785" s="17" t="s">
        <v>132</v>
      </c>
    </row>
    <row r="786" spans="2:8" s="1" customFormat="1" ht="13.5" customHeight="1" x14ac:dyDescent="0.15">
      <c r="B786" s="33"/>
      <c r="C786" s="5" t="s">
        <v>4</v>
      </c>
      <c r="D786" s="9">
        <f>ROUND(C12*680,0)</f>
        <v>7140</v>
      </c>
      <c r="E786" s="6" t="s">
        <v>5</v>
      </c>
      <c r="F786" s="11">
        <f>ROUND(C12*880,0)</f>
        <v>9240</v>
      </c>
      <c r="G786" s="35">
        <v>100</v>
      </c>
      <c r="H786" s="17"/>
    </row>
    <row r="787" spans="2:8" s="1" customFormat="1" ht="13.5" customHeight="1" x14ac:dyDescent="0.15">
      <c r="B787" s="33"/>
      <c r="C787" s="7" t="s">
        <v>6</v>
      </c>
      <c r="D787" s="10">
        <v>7</v>
      </c>
      <c r="E787" s="8" t="s">
        <v>7</v>
      </c>
      <c r="F787" s="12">
        <f>ROUND(C12*530,0)</f>
        <v>5565</v>
      </c>
      <c r="G787" s="36"/>
      <c r="H787" s="17"/>
    </row>
    <row r="788" spans="2:8" s="1" customFormat="1" ht="14.25" thickBot="1" x14ac:dyDescent="0.2">
      <c r="B788" s="34"/>
      <c r="C788" s="18" t="s">
        <v>16</v>
      </c>
      <c r="D788" s="19" t="s">
        <v>33</v>
      </c>
      <c r="E788" s="20" t="s">
        <v>17</v>
      </c>
      <c r="F788" s="21" t="s">
        <v>54</v>
      </c>
      <c r="G788" s="22" t="s">
        <v>20</v>
      </c>
      <c r="H788" s="23" t="s">
        <v>37</v>
      </c>
    </row>
    <row r="789" spans="2:8" s="1" customFormat="1" x14ac:dyDescent="0.15">
      <c r="B789" s="13" t="s">
        <v>1</v>
      </c>
      <c r="C789" s="14" t="s">
        <v>0</v>
      </c>
      <c r="D789" s="29" t="s">
        <v>304</v>
      </c>
      <c r="E789" s="30"/>
      <c r="F789" s="31"/>
      <c r="G789" s="15" t="s">
        <v>57</v>
      </c>
      <c r="H789" s="16" t="s">
        <v>143</v>
      </c>
    </row>
    <row r="790" spans="2:8" s="1" customFormat="1" x14ac:dyDescent="0.15">
      <c r="B790" s="32">
        <v>200156</v>
      </c>
      <c r="C790" s="2" t="s">
        <v>2</v>
      </c>
      <c r="D790" s="9">
        <f>ROUND(C12*880,0)</f>
        <v>9240</v>
      </c>
      <c r="E790" s="3" t="s">
        <v>3</v>
      </c>
      <c r="F790" s="11">
        <f>ROUND(C12*476,0)</f>
        <v>4998</v>
      </c>
      <c r="G790" s="4" t="s">
        <v>8</v>
      </c>
      <c r="H790" s="17" t="s">
        <v>144</v>
      </c>
    </row>
    <row r="791" spans="2:8" s="1" customFormat="1" ht="13.5" customHeight="1" x14ac:dyDescent="0.15">
      <c r="B791" s="33"/>
      <c r="C791" s="5" t="s">
        <v>4</v>
      </c>
      <c r="D791" s="9">
        <f>ROUND(C12*680,0)</f>
        <v>7140</v>
      </c>
      <c r="E791" s="6" t="s">
        <v>5</v>
      </c>
      <c r="F791" s="11">
        <f>ROUND(C12*880,0)</f>
        <v>9240</v>
      </c>
      <c r="G791" s="35">
        <v>50</v>
      </c>
      <c r="H791" s="17"/>
    </row>
    <row r="792" spans="2:8" s="1" customFormat="1" ht="13.5" customHeight="1" x14ac:dyDescent="0.15">
      <c r="B792" s="33"/>
      <c r="C792" s="7" t="s">
        <v>6</v>
      </c>
      <c r="D792" s="10">
        <v>7</v>
      </c>
      <c r="E792" s="8" t="s">
        <v>7</v>
      </c>
      <c r="F792" s="12">
        <f>ROUND(C12*480,0)</f>
        <v>5040</v>
      </c>
      <c r="G792" s="36"/>
      <c r="H792" s="17"/>
    </row>
    <row r="793" spans="2:8" s="1" customFormat="1" ht="14.25" thickBot="1" x14ac:dyDescent="0.2">
      <c r="B793" s="34"/>
      <c r="C793" s="18" t="s">
        <v>16</v>
      </c>
      <c r="D793" s="19" t="s">
        <v>52</v>
      </c>
      <c r="E793" s="20" t="s">
        <v>17</v>
      </c>
      <c r="F793" s="21" t="s">
        <v>51</v>
      </c>
      <c r="G793" s="22" t="s">
        <v>20</v>
      </c>
      <c r="H793" s="23" t="s">
        <v>262</v>
      </c>
    </row>
    <row r="794" spans="2:8" s="1" customFormat="1" x14ac:dyDescent="0.15">
      <c r="B794" s="13" t="s">
        <v>1</v>
      </c>
      <c r="C794" s="14" t="s">
        <v>0</v>
      </c>
      <c r="D794" s="29" t="s">
        <v>305</v>
      </c>
      <c r="E794" s="30"/>
      <c r="F794" s="31"/>
      <c r="G794" s="15" t="s">
        <v>57</v>
      </c>
      <c r="H794" s="16" t="s">
        <v>167</v>
      </c>
    </row>
    <row r="795" spans="2:8" s="1" customFormat="1" x14ac:dyDescent="0.15">
      <c r="B795" s="32">
        <v>200157</v>
      </c>
      <c r="C795" s="2" t="s">
        <v>2</v>
      </c>
      <c r="D795" s="9">
        <f>ROUND(C12*880,0)</f>
        <v>9240</v>
      </c>
      <c r="E795" s="3" t="s">
        <v>3</v>
      </c>
      <c r="F795" s="11">
        <f>ROUND(C12*476,0)</f>
        <v>4998</v>
      </c>
      <c r="G795" s="4" t="s">
        <v>8</v>
      </c>
      <c r="H795" s="17" t="s">
        <v>168</v>
      </c>
    </row>
    <row r="796" spans="2:8" s="1" customFormat="1" ht="13.5" customHeight="1" x14ac:dyDescent="0.15">
      <c r="B796" s="33"/>
      <c r="C796" s="5" t="s">
        <v>4</v>
      </c>
      <c r="D796" s="9">
        <f>ROUND(C12*680,0)</f>
        <v>7140</v>
      </c>
      <c r="E796" s="6" t="s">
        <v>5</v>
      </c>
      <c r="F796" s="11">
        <f>ROUND(C12*880,0)</f>
        <v>9240</v>
      </c>
      <c r="G796" s="35">
        <v>50</v>
      </c>
      <c r="H796" s="17"/>
    </row>
    <row r="797" spans="2:8" s="1" customFormat="1" ht="13.5" customHeight="1" x14ac:dyDescent="0.15">
      <c r="B797" s="33"/>
      <c r="C797" s="7" t="s">
        <v>6</v>
      </c>
      <c r="D797" s="10">
        <v>7</v>
      </c>
      <c r="E797" s="8" t="s">
        <v>7</v>
      </c>
      <c r="F797" s="12">
        <f>ROUND(C12*480,0)</f>
        <v>5040</v>
      </c>
      <c r="G797" s="36"/>
      <c r="H797" s="17"/>
    </row>
    <row r="798" spans="2:8" s="1" customFormat="1" ht="14.25" thickBot="1" x14ac:dyDescent="0.2">
      <c r="B798" s="34"/>
      <c r="C798" s="18" t="s">
        <v>16</v>
      </c>
      <c r="D798" s="19" t="s">
        <v>48</v>
      </c>
      <c r="E798" s="20" t="s">
        <v>17</v>
      </c>
      <c r="F798" s="21" t="s">
        <v>49</v>
      </c>
      <c r="G798" s="22" t="s">
        <v>20</v>
      </c>
      <c r="H798" s="23" t="s">
        <v>183</v>
      </c>
    </row>
    <row r="799" spans="2:8" s="1" customFormat="1" x14ac:dyDescent="0.15">
      <c r="B799" s="13" t="s">
        <v>1</v>
      </c>
      <c r="C799" s="14" t="s">
        <v>0</v>
      </c>
      <c r="D799" s="29" t="s">
        <v>306</v>
      </c>
      <c r="E799" s="30"/>
      <c r="F799" s="31"/>
      <c r="G799" s="15" t="s">
        <v>57</v>
      </c>
      <c r="H799" s="16" t="s">
        <v>41</v>
      </c>
    </row>
    <row r="800" spans="2:8" s="1" customFormat="1" x14ac:dyDescent="0.15">
      <c r="B800" s="32">
        <v>200158</v>
      </c>
      <c r="C800" s="2" t="s">
        <v>2</v>
      </c>
      <c r="D800" s="9">
        <f>ROUND(C12*880,0)</f>
        <v>9240</v>
      </c>
      <c r="E800" s="3" t="s">
        <v>3</v>
      </c>
      <c r="F800" s="11">
        <f>ROUND(C12*476,0)</f>
        <v>4998</v>
      </c>
      <c r="G800" s="4" t="s">
        <v>8</v>
      </c>
      <c r="H800" s="17" t="s">
        <v>25</v>
      </c>
    </row>
    <row r="801" spans="2:8" s="1" customFormat="1" ht="13.5" customHeight="1" x14ac:dyDescent="0.15">
      <c r="B801" s="33"/>
      <c r="C801" s="5" t="s">
        <v>4</v>
      </c>
      <c r="D801" s="9">
        <f>ROUND(C12*680,0)</f>
        <v>7140</v>
      </c>
      <c r="E801" s="6" t="s">
        <v>5</v>
      </c>
      <c r="F801" s="11">
        <f>ROUND(C12*880,0)</f>
        <v>9240</v>
      </c>
      <c r="G801" s="35">
        <v>100</v>
      </c>
      <c r="H801" s="17"/>
    </row>
    <row r="802" spans="2:8" s="1" customFormat="1" ht="13.5" customHeight="1" x14ac:dyDescent="0.15">
      <c r="B802" s="33"/>
      <c r="C802" s="7" t="s">
        <v>6</v>
      </c>
      <c r="D802" s="10">
        <v>7</v>
      </c>
      <c r="E802" s="8" t="s">
        <v>7</v>
      </c>
      <c r="F802" s="12">
        <f>ROUND(C12*480,0)</f>
        <v>5040</v>
      </c>
      <c r="G802" s="36"/>
      <c r="H802" s="17"/>
    </row>
    <row r="803" spans="2:8" s="1" customFormat="1" ht="14.25" thickBot="1" x14ac:dyDescent="0.2">
      <c r="B803" s="34"/>
      <c r="C803" s="18" t="s">
        <v>16</v>
      </c>
      <c r="D803" s="19" t="s">
        <v>402</v>
      </c>
      <c r="E803" s="20" t="s">
        <v>17</v>
      </c>
      <c r="F803" s="21" t="s">
        <v>51</v>
      </c>
      <c r="G803" s="22" t="s">
        <v>20</v>
      </c>
      <c r="H803" s="23" t="s">
        <v>37</v>
      </c>
    </row>
    <row r="804" spans="2:8" s="1" customFormat="1" x14ac:dyDescent="0.15">
      <c r="B804" s="13" t="s">
        <v>1</v>
      </c>
      <c r="C804" s="14" t="s">
        <v>0</v>
      </c>
      <c r="D804" s="29" t="s">
        <v>307</v>
      </c>
      <c r="E804" s="30"/>
      <c r="F804" s="31"/>
      <c r="G804" s="15" t="s">
        <v>57</v>
      </c>
      <c r="H804" s="16" t="s">
        <v>55</v>
      </c>
    </row>
    <row r="805" spans="2:8" s="1" customFormat="1" x14ac:dyDescent="0.15">
      <c r="B805" s="32">
        <v>200159</v>
      </c>
      <c r="C805" s="2" t="s">
        <v>2</v>
      </c>
      <c r="D805" s="9">
        <f>ROUND(C12*880,0)</f>
        <v>9240</v>
      </c>
      <c r="E805" s="3" t="s">
        <v>3</v>
      </c>
      <c r="F805" s="11">
        <f>ROUND(C12*980,0)</f>
        <v>10290</v>
      </c>
      <c r="G805" s="4" t="s">
        <v>8</v>
      </c>
      <c r="H805" s="17" t="s">
        <v>30</v>
      </c>
    </row>
    <row r="806" spans="2:8" s="1" customFormat="1" ht="13.5" customHeight="1" x14ac:dyDescent="0.15">
      <c r="B806" s="33"/>
      <c r="C806" s="5" t="s">
        <v>4</v>
      </c>
      <c r="D806" s="9">
        <f>ROUND(C12*680,0)</f>
        <v>7140</v>
      </c>
      <c r="E806" s="6" t="s">
        <v>5</v>
      </c>
      <c r="F806" s="11">
        <f>ROUND(C12*1936,0)</f>
        <v>20328</v>
      </c>
      <c r="G806" s="35">
        <v>100</v>
      </c>
      <c r="H806" s="17"/>
    </row>
    <row r="807" spans="2:8" s="1" customFormat="1" ht="13.5" customHeight="1" x14ac:dyDescent="0.15">
      <c r="B807" s="33"/>
      <c r="C807" s="7" t="s">
        <v>6</v>
      </c>
      <c r="D807" s="10">
        <v>4</v>
      </c>
      <c r="E807" s="8" t="s">
        <v>7</v>
      </c>
      <c r="F807" s="12">
        <f>ROUND(C12*530,0)</f>
        <v>5565</v>
      </c>
      <c r="G807" s="36"/>
      <c r="H807" s="17"/>
    </row>
    <row r="808" spans="2:8" s="1" customFormat="1" ht="14.25" thickBot="1" x14ac:dyDescent="0.2">
      <c r="B808" s="34"/>
      <c r="C808" s="18" t="s">
        <v>16</v>
      </c>
      <c r="D808" s="19" t="s">
        <v>48</v>
      </c>
      <c r="E808" s="20" t="s">
        <v>17</v>
      </c>
      <c r="F808" s="21" t="s">
        <v>56</v>
      </c>
      <c r="G808" s="22" t="s">
        <v>20</v>
      </c>
      <c r="H808" s="23" t="s">
        <v>37</v>
      </c>
    </row>
    <row r="809" spans="2:8" s="1" customFormat="1" x14ac:dyDescent="0.15">
      <c r="B809" s="13" t="s">
        <v>1</v>
      </c>
      <c r="C809" s="14" t="s">
        <v>0</v>
      </c>
      <c r="D809" s="29" t="s">
        <v>308</v>
      </c>
      <c r="E809" s="30"/>
      <c r="F809" s="31"/>
      <c r="G809" s="15" t="s">
        <v>57</v>
      </c>
      <c r="H809" s="16" t="s">
        <v>77</v>
      </c>
    </row>
    <row r="810" spans="2:8" s="1" customFormat="1" x14ac:dyDescent="0.15">
      <c r="B810" s="32">
        <v>200160</v>
      </c>
      <c r="C810" s="2" t="s">
        <v>2</v>
      </c>
      <c r="D810" s="9">
        <f>ROUND(C12*880,0)</f>
        <v>9240</v>
      </c>
      <c r="E810" s="3" t="s">
        <v>3</v>
      </c>
      <c r="F810" s="11">
        <f>ROUND(C12*980,0)</f>
        <v>10290</v>
      </c>
      <c r="G810" s="4" t="s">
        <v>8</v>
      </c>
      <c r="H810" s="17" t="s">
        <v>78</v>
      </c>
    </row>
    <row r="811" spans="2:8" s="1" customFormat="1" ht="13.5" customHeight="1" x14ac:dyDescent="0.15">
      <c r="B811" s="33"/>
      <c r="C811" s="5" t="s">
        <v>4</v>
      </c>
      <c r="D811" s="9">
        <f>ROUND(C12*680,0)</f>
        <v>7140</v>
      </c>
      <c r="E811" s="6" t="s">
        <v>5</v>
      </c>
      <c r="F811" s="11">
        <f>ROUND(C12*1936,0)</f>
        <v>20328</v>
      </c>
      <c r="G811" s="35">
        <v>100</v>
      </c>
      <c r="H811" s="17"/>
    </row>
    <row r="812" spans="2:8" s="1" customFormat="1" ht="13.5" customHeight="1" x14ac:dyDescent="0.15">
      <c r="B812" s="33"/>
      <c r="C812" s="7" t="s">
        <v>6</v>
      </c>
      <c r="D812" s="10">
        <v>4</v>
      </c>
      <c r="E812" s="8" t="s">
        <v>7</v>
      </c>
      <c r="F812" s="12">
        <f>ROUND(C12*530,0)</f>
        <v>5565</v>
      </c>
      <c r="G812" s="36"/>
      <c r="H812" s="17"/>
    </row>
    <row r="813" spans="2:8" s="1" customFormat="1" ht="14.25" thickBot="1" x14ac:dyDescent="0.2">
      <c r="B813" s="34"/>
      <c r="C813" s="18" t="s">
        <v>16</v>
      </c>
      <c r="D813" s="19" t="s">
        <v>85</v>
      </c>
      <c r="E813" s="20" t="s">
        <v>17</v>
      </c>
      <c r="F813" s="21" t="s">
        <v>418</v>
      </c>
      <c r="G813" s="22" t="s">
        <v>20</v>
      </c>
      <c r="H813" s="23" t="s">
        <v>37</v>
      </c>
    </row>
    <row r="814" spans="2:8" s="1" customFormat="1" x14ac:dyDescent="0.15">
      <c r="B814" s="13" t="s">
        <v>1</v>
      </c>
      <c r="C814" s="14" t="s">
        <v>0</v>
      </c>
      <c r="D814" s="29" t="s">
        <v>309</v>
      </c>
      <c r="E814" s="30"/>
      <c r="F814" s="31"/>
      <c r="G814" s="15" t="s">
        <v>57</v>
      </c>
      <c r="H814" s="16" t="s">
        <v>50</v>
      </c>
    </row>
    <row r="815" spans="2:8" s="1" customFormat="1" x14ac:dyDescent="0.15">
      <c r="B815" s="32">
        <v>200161</v>
      </c>
      <c r="C815" s="2" t="s">
        <v>2</v>
      </c>
      <c r="D815" s="9">
        <f>ROUND(C12*880,0)</f>
        <v>9240</v>
      </c>
      <c r="E815" s="3" t="s">
        <v>3</v>
      </c>
      <c r="F815" s="11">
        <f>ROUND(C12*980,0)</f>
        <v>10290</v>
      </c>
      <c r="G815" s="4" t="s">
        <v>8</v>
      </c>
      <c r="H815" s="17" t="s">
        <v>29</v>
      </c>
    </row>
    <row r="816" spans="2:8" s="1" customFormat="1" ht="13.5" customHeight="1" x14ac:dyDescent="0.15">
      <c r="B816" s="33"/>
      <c r="C816" s="5" t="s">
        <v>4</v>
      </c>
      <c r="D816" s="9">
        <f>ROUND(C12*680,0)</f>
        <v>7140</v>
      </c>
      <c r="E816" s="6" t="s">
        <v>5</v>
      </c>
      <c r="F816" s="11">
        <f>ROUND(C12*1936,0)</f>
        <v>20328</v>
      </c>
      <c r="G816" s="35">
        <v>100</v>
      </c>
      <c r="H816" s="17"/>
    </row>
    <row r="817" spans="2:8" s="1" customFormat="1" ht="13.5" customHeight="1" x14ac:dyDescent="0.15">
      <c r="B817" s="33"/>
      <c r="C817" s="7" t="s">
        <v>6</v>
      </c>
      <c r="D817" s="10">
        <v>4</v>
      </c>
      <c r="E817" s="8" t="s">
        <v>7</v>
      </c>
      <c r="F817" s="12">
        <f>ROUND(C12*530,0)</f>
        <v>5565</v>
      </c>
      <c r="G817" s="36"/>
      <c r="H817" s="17"/>
    </row>
    <row r="818" spans="2:8" s="1" customFormat="1" ht="14.25" thickBot="1" x14ac:dyDescent="0.2">
      <c r="B818" s="34"/>
      <c r="C818" s="18" t="s">
        <v>16</v>
      </c>
      <c r="D818" s="19" t="s">
        <v>71</v>
      </c>
      <c r="E818" s="20" t="s">
        <v>17</v>
      </c>
      <c r="F818" s="21" t="s">
        <v>51</v>
      </c>
      <c r="G818" s="22" t="s">
        <v>20</v>
      </c>
      <c r="H818" s="23" t="s">
        <v>37</v>
      </c>
    </row>
    <row r="819" spans="2:8" s="1" customFormat="1" x14ac:dyDescent="0.15">
      <c r="B819" s="13" t="s">
        <v>1</v>
      </c>
      <c r="C819" s="14" t="s">
        <v>0</v>
      </c>
      <c r="D819" s="29" t="s">
        <v>310</v>
      </c>
      <c r="E819" s="30"/>
      <c r="F819" s="31"/>
      <c r="G819" s="15" t="s">
        <v>57</v>
      </c>
      <c r="H819" s="16" t="s">
        <v>46</v>
      </c>
    </row>
    <row r="820" spans="2:8" s="1" customFormat="1" x14ac:dyDescent="0.15">
      <c r="B820" s="32">
        <v>200162</v>
      </c>
      <c r="C820" s="2" t="s">
        <v>2</v>
      </c>
      <c r="D820" s="9">
        <f>ROUND(C12*880,0)</f>
        <v>9240</v>
      </c>
      <c r="E820" s="3" t="s">
        <v>3</v>
      </c>
      <c r="F820" s="11">
        <f>ROUND(C12*476,0)</f>
        <v>4998</v>
      </c>
      <c r="G820" s="4" t="s">
        <v>8</v>
      </c>
      <c r="H820" s="17" t="s">
        <v>27</v>
      </c>
    </row>
    <row r="821" spans="2:8" s="1" customFormat="1" ht="13.5" customHeight="1" x14ac:dyDescent="0.15">
      <c r="B821" s="33"/>
      <c r="C821" s="5" t="s">
        <v>4</v>
      </c>
      <c r="D821" s="9">
        <f>ROUND(C12*680,0)</f>
        <v>7140</v>
      </c>
      <c r="E821" s="6" t="s">
        <v>5</v>
      </c>
      <c r="F821" s="11">
        <f>ROUND(C12*880,0)</f>
        <v>9240</v>
      </c>
      <c r="G821" s="35">
        <v>100</v>
      </c>
      <c r="H821" s="17"/>
    </row>
    <row r="822" spans="2:8" s="1" customFormat="1" ht="13.5" customHeight="1" x14ac:dyDescent="0.15">
      <c r="B822" s="33"/>
      <c r="C822" s="7" t="s">
        <v>6</v>
      </c>
      <c r="D822" s="10">
        <v>7</v>
      </c>
      <c r="E822" s="8" t="s">
        <v>7</v>
      </c>
      <c r="F822" s="12">
        <f>ROUND(C12*530,0)</f>
        <v>5565</v>
      </c>
      <c r="G822" s="36"/>
      <c r="H822" s="17"/>
    </row>
    <row r="823" spans="2:8" s="1" customFormat="1" ht="14.25" thickBot="1" x14ac:dyDescent="0.2">
      <c r="B823" s="34"/>
      <c r="C823" s="18" t="s">
        <v>16</v>
      </c>
      <c r="D823" s="19" t="s">
        <v>82</v>
      </c>
      <c r="E823" s="20" t="s">
        <v>17</v>
      </c>
      <c r="F823" s="21" t="s">
        <v>54</v>
      </c>
      <c r="G823" s="22" t="s">
        <v>20</v>
      </c>
      <c r="H823" s="23" t="s">
        <v>37</v>
      </c>
    </row>
    <row r="824" spans="2:8" s="1" customFormat="1" x14ac:dyDescent="0.15">
      <c r="B824" s="13" t="s">
        <v>1</v>
      </c>
      <c r="C824" s="14" t="s">
        <v>0</v>
      </c>
      <c r="D824" s="29" t="s">
        <v>311</v>
      </c>
      <c r="E824" s="30"/>
      <c r="F824" s="31"/>
      <c r="G824" s="15" t="s">
        <v>57</v>
      </c>
      <c r="H824" s="16" t="s">
        <v>98</v>
      </c>
    </row>
    <row r="825" spans="2:8" s="1" customFormat="1" x14ac:dyDescent="0.15">
      <c r="B825" s="32">
        <v>200163</v>
      </c>
      <c r="C825" s="2" t="s">
        <v>2</v>
      </c>
      <c r="D825" s="9">
        <f>ROUND(C12*880,0)</f>
        <v>9240</v>
      </c>
      <c r="E825" s="3" t="s">
        <v>3</v>
      </c>
      <c r="F825" s="11">
        <f>ROUND(C12*980,0)</f>
        <v>10290</v>
      </c>
      <c r="G825" s="4" t="s">
        <v>8</v>
      </c>
      <c r="H825" s="17" t="s">
        <v>99</v>
      </c>
    </row>
    <row r="826" spans="2:8" s="1" customFormat="1" ht="13.5" customHeight="1" x14ac:dyDescent="0.15">
      <c r="B826" s="33"/>
      <c r="C826" s="5" t="s">
        <v>4</v>
      </c>
      <c r="D826" s="9">
        <f>ROUND(C12*680,0)</f>
        <v>7140</v>
      </c>
      <c r="E826" s="6" t="s">
        <v>5</v>
      </c>
      <c r="F826" s="11">
        <f>ROUND(C12*1936,0)</f>
        <v>20328</v>
      </c>
      <c r="G826" s="35">
        <v>100</v>
      </c>
      <c r="H826" s="17"/>
    </row>
    <row r="827" spans="2:8" s="1" customFormat="1" ht="13.5" customHeight="1" x14ac:dyDescent="0.15">
      <c r="B827" s="33"/>
      <c r="C827" s="7" t="s">
        <v>6</v>
      </c>
      <c r="D827" s="10">
        <v>4</v>
      </c>
      <c r="E827" s="8" t="s">
        <v>7</v>
      </c>
      <c r="F827" s="12">
        <f>ROUND(C12*530,0)</f>
        <v>5565</v>
      </c>
      <c r="G827" s="36"/>
      <c r="H827" s="17"/>
    </row>
    <row r="828" spans="2:8" s="1" customFormat="1" ht="14.25" thickBot="1" x14ac:dyDescent="0.2">
      <c r="B828" s="34"/>
      <c r="C828" s="18" t="s">
        <v>16</v>
      </c>
      <c r="D828" s="19" t="s">
        <v>100</v>
      </c>
      <c r="E828" s="20" t="s">
        <v>17</v>
      </c>
      <c r="F828" s="21" t="s">
        <v>218</v>
      </c>
      <c r="G828" s="22" t="s">
        <v>20</v>
      </c>
      <c r="H828" s="23" t="s">
        <v>37</v>
      </c>
    </row>
    <row r="829" spans="2:8" s="1" customFormat="1" x14ac:dyDescent="0.15">
      <c r="B829" s="13" t="s">
        <v>1</v>
      </c>
      <c r="C829" s="14" t="s">
        <v>0</v>
      </c>
      <c r="D829" s="29" t="s">
        <v>312</v>
      </c>
      <c r="E829" s="30"/>
      <c r="F829" s="31"/>
      <c r="G829" s="15" t="s">
        <v>57</v>
      </c>
      <c r="H829" s="16" t="s">
        <v>108</v>
      </c>
    </row>
    <row r="830" spans="2:8" s="1" customFormat="1" x14ac:dyDescent="0.15">
      <c r="B830" s="32">
        <v>200164</v>
      </c>
      <c r="C830" s="2" t="s">
        <v>2</v>
      </c>
      <c r="D830" s="9">
        <f>ROUND(C12*880,0)</f>
        <v>9240</v>
      </c>
      <c r="E830" s="3" t="s">
        <v>3</v>
      </c>
      <c r="F830" s="11">
        <f>ROUND(C12*980,0)</f>
        <v>10290</v>
      </c>
      <c r="G830" s="4" t="s">
        <v>8</v>
      </c>
      <c r="H830" s="17" t="s">
        <v>109</v>
      </c>
    </row>
    <row r="831" spans="2:8" s="1" customFormat="1" ht="13.5" customHeight="1" x14ac:dyDescent="0.15">
      <c r="B831" s="33"/>
      <c r="C831" s="5" t="s">
        <v>4</v>
      </c>
      <c r="D831" s="9">
        <f>ROUND(C12*680,0)</f>
        <v>7140</v>
      </c>
      <c r="E831" s="6" t="s">
        <v>5</v>
      </c>
      <c r="F831" s="11">
        <f>ROUND(C12*1936,0)</f>
        <v>20328</v>
      </c>
      <c r="G831" s="35">
        <v>100</v>
      </c>
      <c r="H831" s="17"/>
    </row>
    <row r="832" spans="2:8" s="1" customFormat="1" ht="13.5" customHeight="1" x14ac:dyDescent="0.15">
      <c r="B832" s="33"/>
      <c r="C832" s="7" t="s">
        <v>6</v>
      </c>
      <c r="D832" s="10">
        <v>4</v>
      </c>
      <c r="E832" s="8" t="s">
        <v>7</v>
      </c>
      <c r="F832" s="12">
        <f>ROUND(C12*530,0)</f>
        <v>5565</v>
      </c>
      <c r="G832" s="36"/>
      <c r="H832" s="17"/>
    </row>
    <row r="833" spans="2:8" s="1" customFormat="1" ht="14.25" thickBot="1" x14ac:dyDescent="0.2">
      <c r="B833" s="34"/>
      <c r="C833" s="18" t="s">
        <v>16</v>
      </c>
      <c r="D833" s="19" t="s">
        <v>396</v>
      </c>
      <c r="E833" s="20" t="s">
        <v>17</v>
      </c>
      <c r="F833" s="21" t="s">
        <v>33</v>
      </c>
      <c r="G833" s="22" t="s">
        <v>20</v>
      </c>
      <c r="H833" s="23" t="s">
        <v>37</v>
      </c>
    </row>
    <row r="834" spans="2:8" s="1" customFormat="1" x14ac:dyDescent="0.15">
      <c r="B834" s="13" t="s">
        <v>1</v>
      </c>
      <c r="C834" s="14" t="s">
        <v>0</v>
      </c>
      <c r="D834" s="29" t="s">
        <v>313</v>
      </c>
      <c r="E834" s="30"/>
      <c r="F834" s="31"/>
      <c r="G834" s="15" t="s">
        <v>57</v>
      </c>
      <c r="H834" s="16" t="s">
        <v>46</v>
      </c>
    </row>
    <row r="835" spans="2:8" s="1" customFormat="1" x14ac:dyDescent="0.15">
      <c r="B835" s="32">
        <v>200165</v>
      </c>
      <c r="C835" s="2" t="s">
        <v>2</v>
      </c>
      <c r="D835" s="9">
        <f>ROUND(C12*880,0)</f>
        <v>9240</v>
      </c>
      <c r="E835" s="3" t="s">
        <v>3</v>
      </c>
      <c r="F835" s="11">
        <f>ROUND(C12*476,0)</f>
        <v>4998</v>
      </c>
      <c r="G835" s="4" t="s">
        <v>8</v>
      </c>
      <c r="H835" s="17" t="s">
        <v>27</v>
      </c>
    </row>
    <row r="836" spans="2:8" s="1" customFormat="1" ht="13.5" customHeight="1" x14ac:dyDescent="0.15">
      <c r="B836" s="33"/>
      <c r="C836" s="5" t="s">
        <v>4</v>
      </c>
      <c r="D836" s="9">
        <f>ROUND(C12*680,0)</f>
        <v>7140</v>
      </c>
      <c r="E836" s="6" t="s">
        <v>5</v>
      </c>
      <c r="F836" s="11">
        <f>ROUND(C12*880,0)</f>
        <v>9240</v>
      </c>
      <c r="G836" s="35">
        <v>100</v>
      </c>
      <c r="H836" s="17"/>
    </row>
    <row r="837" spans="2:8" s="1" customFormat="1" ht="13.5" customHeight="1" x14ac:dyDescent="0.15">
      <c r="B837" s="33"/>
      <c r="C837" s="7" t="s">
        <v>6</v>
      </c>
      <c r="D837" s="10">
        <v>7</v>
      </c>
      <c r="E837" s="8" t="s">
        <v>7</v>
      </c>
      <c r="F837" s="12">
        <f>ROUND(C12*530,0)</f>
        <v>5565</v>
      </c>
      <c r="G837" s="36"/>
      <c r="H837" s="17"/>
    </row>
    <row r="838" spans="2:8" s="1" customFormat="1" ht="14.25" thickBot="1" x14ac:dyDescent="0.2">
      <c r="B838" s="34"/>
      <c r="C838" s="18" t="s">
        <v>16</v>
      </c>
      <c r="D838" s="19" t="s">
        <v>54</v>
      </c>
      <c r="E838" s="20" t="s">
        <v>17</v>
      </c>
      <c r="F838" s="21" t="s">
        <v>51</v>
      </c>
      <c r="G838" s="22" t="s">
        <v>20</v>
      </c>
      <c r="H838" s="23" t="s">
        <v>37</v>
      </c>
    </row>
    <row r="839" spans="2:8" s="1" customFormat="1" x14ac:dyDescent="0.15">
      <c r="B839" s="13" t="s">
        <v>1</v>
      </c>
      <c r="C839" s="14" t="s">
        <v>0</v>
      </c>
      <c r="D839" s="29" t="s">
        <v>314</v>
      </c>
      <c r="E839" s="30"/>
      <c r="F839" s="31"/>
      <c r="G839" s="15" t="s">
        <v>57</v>
      </c>
      <c r="H839" s="16" t="s">
        <v>188</v>
      </c>
    </row>
    <row r="840" spans="2:8" s="1" customFormat="1" x14ac:dyDescent="0.15">
      <c r="B840" s="32">
        <v>200166</v>
      </c>
      <c r="C840" s="2" t="s">
        <v>2</v>
      </c>
      <c r="D840" s="9">
        <f>ROUND(C12*880,0)</f>
        <v>9240</v>
      </c>
      <c r="E840" s="3" t="s">
        <v>3</v>
      </c>
      <c r="F840" s="11">
        <f>ROUND(C12*476,0)</f>
        <v>4998</v>
      </c>
      <c r="G840" s="4" t="s">
        <v>8</v>
      </c>
      <c r="H840" s="17" t="s">
        <v>189</v>
      </c>
    </row>
    <row r="841" spans="2:8" s="1" customFormat="1" ht="13.5" customHeight="1" x14ac:dyDescent="0.15">
      <c r="B841" s="33"/>
      <c r="C841" s="5" t="s">
        <v>4</v>
      </c>
      <c r="D841" s="9">
        <f>ROUND(C12*680,0)</f>
        <v>7140</v>
      </c>
      <c r="E841" s="6" t="s">
        <v>5</v>
      </c>
      <c r="F841" s="11">
        <f>ROUND(C12*880,0)</f>
        <v>9240</v>
      </c>
      <c r="G841" s="35">
        <v>50</v>
      </c>
      <c r="H841" s="17"/>
    </row>
    <row r="842" spans="2:8" s="1" customFormat="1" ht="13.5" customHeight="1" x14ac:dyDescent="0.15">
      <c r="B842" s="33"/>
      <c r="C842" s="7" t="s">
        <v>6</v>
      </c>
      <c r="D842" s="10">
        <v>7</v>
      </c>
      <c r="E842" s="8" t="s">
        <v>7</v>
      </c>
      <c r="F842" s="12">
        <f>ROUND(C12*370,0)</f>
        <v>3885</v>
      </c>
      <c r="G842" s="36"/>
      <c r="H842" s="17"/>
    </row>
    <row r="843" spans="2:8" s="1" customFormat="1" ht="14.25" thickBot="1" x14ac:dyDescent="0.2">
      <c r="B843" s="34"/>
      <c r="C843" s="18" t="s">
        <v>16</v>
      </c>
      <c r="D843" s="19" t="s">
        <v>85</v>
      </c>
      <c r="E843" s="20" t="s">
        <v>17</v>
      </c>
      <c r="F843" s="21" t="s">
        <v>49</v>
      </c>
      <c r="G843" s="22" t="s">
        <v>20</v>
      </c>
      <c r="H843" s="23" t="s">
        <v>121</v>
      </c>
    </row>
    <row r="844" spans="2:8" s="1" customFormat="1" x14ac:dyDescent="0.15">
      <c r="B844" s="13" t="s">
        <v>1</v>
      </c>
      <c r="C844" s="14" t="s">
        <v>0</v>
      </c>
      <c r="D844" s="29" t="s">
        <v>315</v>
      </c>
      <c r="E844" s="30"/>
      <c r="F844" s="31"/>
      <c r="G844" s="15" t="s">
        <v>57</v>
      </c>
      <c r="H844" s="16" t="s">
        <v>80</v>
      </c>
    </row>
    <row r="845" spans="2:8" s="1" customFormat="1" x14ac:dyDescent="0.15">
      <c r="B845" s="32">
        <v>200167</v>
      </c>
      <c r="C845" s="2" t="s">
        <v>2</v>
      </c>
      <c r="D845" s="9">
        <f>ROUND(C12*880,0)</f>
        <v>9240</v>
      </c>
      <c r="E845" s="3" t="s">
        <v>3</v>
      </c>
      <c r="F845" s="11">
        <f>ROUND(C12*476,0)</f>
        <v>4998</v>
      </c>
      <c r="G845" s="4" t="s">
        <v>8</v>
      </c>
      <c r="H845" s="17" t="s">
        <v>81</v>
      </c>
    </row>
    <row r="846" spans="2:8" s="1" customFormat="1" ht="13.5" customHeight="1" x14ac:dyDescent="0.15">
      <c r="B846" s="33"/>
      <c r="C846" s="5" t="s">
        <v>4</v>
      </c>
      <c r="D846" s="9">
        <f>ROUND(C12*680,0)</f>
        <v>7140</v>
      </c>
      <c r="E846" s="6" t="s">
        <v>5</v>
      </c>
      <c r="F846" s="11">
        <f>ROUND(C12*880,0)</f>
        <v>9240</v>
      </c>
      <c r="G846" s="35">
        <v>100</v>
      </c>
      <c r="H846" s="17"/>
    </row>
    <row r="847" spans="2:8" s="1" customFormat="1" ht="13.5" customHeight="1" x14ac:dyDescent="0.15">
      <c r="B847" s="33"/>
      <c r="C847" s="7" t="s">
        <v>6</v>
      </c>
      <c r="D847" s="10">
        <v>7</v>
      </c>
      <c r="E847" s="8" t="s">
        <v>7</v>
      </c>
      <c r="F847" s="12">
        <f>ROUND(C12*480,0)</f>
        <v>5040</v>
      </c>
      <c r="G847" s="36"/>
      <c r="H847" s="17"/>
    </row>
    <row r="848" spans="2:8" s="1" customFormat="1" ht="14.25" thickBot="1" x14ac:dyDescent="0.2">
      <c r="B848" s="34"/>
      <c r="C848" s="18" t="s">
        <v>16</v>
      </c>
      <c r="D848" s="19" t="s">
        <v>36</v>
      </c>
      <c r="E848" s="20" t="s">
        <v>17</v>
      </c>
      <c r="F848" s="21" t="s">
        <v>100</v>
      </c>
      <c r="G848" s="22" t="s">
        <v>20</v>
      </c>
      <c r="H848" s="23" t="s">
        <v>37</v>
      </c>
    </row>
    <row r="849" spans="2:8" s="1" customFormat="1" x14ac:dyDescent="0.15">
      <c r="B849" s="13" t="s">
        <v>1</v>
      </c>
      <c r="C849" s="14" t="s">
        <v>0</v>
      </c>
      <c r="D849" s="29" t="s">
        <v>316</v>
      </c>
      <c r="E849" s="30"/>
      <c r="F849" s="31"/>
      <c r="G849" s="15" t="s">
        <v>57</v>
      </c>
      <c r="H849" s="16" t="s">
        <v>50</v>
      </c>
    </row>
    <row r="850" spans="2:8" s="1" customFormat="1" x14ac:dyDescent="0.15">
      <c r="B850" s="32">
        <v>200168</v>
      </c>
      <c r="C850" s="2" t="s">
        <v>2</v>
      </c>
      <c r="D850" s="9">
        <f>ROUND(C12*880,0)</f>
        <v>9240</v>
      </c>
      <c r="E850" s="3" t="s">
        <v>3</v>
      </c>
      <c r="F850" s="11">
        <f>ROUND(C12*980,0)</f>
        <v>10290</v>
      </c>
      <c r="G850" s="4" t="s">
        <v>8</v>
      </c>
      <c r="H850" s="17" t="s">
        <v>29</v>
      </c>
    </row>
    <row r="851" spans="2:8" s="1" customFormat="1" ht="13.5" customHeight="1" x14ac:dyDescent="0.15">
      <c r="B851" s="33"/>
      <c r="C851" s="5" t="s">
        <v>4</v>
      </c>
      <c r="D851" s="9">
        <f>ROUND(C12*680,0)</f>
        <v>7140</v>
      </c>
      <c r="E851" s="6" t="s">
        <v>5</v>
      </c>
      <c r="F851" s="11">
        <f>ROUND(C12*1936,0)</f>
        <v>20328</v>
      </c>
      <c r="G851" s="35">
        <v>100</v>
      </c>
      <c r="H851" s="17"/>
    </row>
    <row r="852" spans="2:8" s="1" customFormat="1" ht="13.5" customHeight="1" x14ac:dyDescent="0.15">
      <c r="B852" s="33"/>
      <c r="C852" s="7" t="s">
        <v>6</v>
      </c>
      <c r="D852" s="10">
        <v>4</v>
      </c>
      <c r="E852" s="8" t="s">
        <v>7</v>
      </c>
      <c r="F852" s="12">
        <f>ROUND(C12*530,0)</f>
        <v>5565</v>
      </c>
      <c r="G852" s="36"/>
      <c r="H852" s="17"/>
    </row>
    <row r="853" spans="2:8" s="1" customFormat="1" ht="14.25" thickBot="1" x14ac:dyDescent="0.2">
      <c r="B853" s="34"/>
      <c r="C853" s="18" t="s">
        <v>16</v>
      </c>
      <c r="D853" s="19" t="s">
        <v>421</v>
      </c>
      <c r="E853" s="20" t="s">
        <v>17</v>
      </c>
      <c r="F853" s="21" t="s">
        <v>397</v>
      </c>
      <c r="G853" s="22" t="s">
        <v>20</v>
      </c>
      <c r="H853" s="23" t="s">
        <v>37</v>
      </c>
    </row>
    <row r="854" spans="2:8" s="1" customFormat="1" x14ac:dyDescent="0.15">
      <c r="B854" s="13" t="s">
        <v>1</v>
      </c>
      <c r="C854" s="14" t="s">
        <v>0</v>
      </c>
      <c r="D854" s="29" t="s">
        <v>317</v>
      </c>
      <c r="E854" s="30"/>
      <c r="F854" s="31"/>
      <c r="G854" s="15" t="s">
        <v>57</v>
      </c>
      <c r="H854" s="16" t="s">
        <v>98</v>
      </c>
    </row>
    <row r="855" spans="2:8" s="1" customFormat="1" x14ac:dyDescent="0.15">
      <c r="B855" s="32">
        <v>200169</v>
      </c>
      <c r="C855" s="2" t="s">
        <v>2</v>
      </c>
      <c r="D855" s="9">
        <f>ROUND(C12*880,0)</f>
        <v>9240</v>
      </c>
      <c r="E855" s="3" t="s">
        <v>3</v>
      </c>
      <c r="F855" s="11">
        <f>ROUND(C12*476,0)</f>
        <v>4998</v>
      </c>
      <c r="G855" s="4" t="s">
        <v>8</v>
      </c>
      <c r="H855" s="17" t="s">
        <v>99</v>
      </c>
    </row>
    <row r="856" spans="2:8" s="1" customFormat="1" ht="13.5" customHeight="1" x14ac:dyDescent="0.15">
      <c r="B856" s="33"/>
      <c r="C856" s="5" t="s">
        <v>4</v>
      </c>
      <c r="D856" s="9">
        <f>ROUND(C12*680,0)</f>
        <v>7140</v>
      </c>
      <c r="E856" s="6" t="s">
        <v>5</v>
      </c>
      <c r="F856" s="11">
        <f>ROUND(C12*880,0)</f>
        <v>9240</v>
      </c>
      <c r="G856" s="35">
        <v>100</v>
      </c>
      <c r="H856" s="17"/>
    </row>
    <row r="857" spans="2:8" s="1" customFormat="1" ht="13.5" customHeight="1" x14ac:dyDescent="0.15">
      <c r="B857" s="33"/>
      <c r="C857" s="7" t="s">
        <v>6</v>
      </c>
      <c r="D857" s="10">
        <v>7</v>
      </c>
      <c r="E857" s="8" t="s">
        <v>7</v>
      </c>
      <c r="F857" s="12">
        <f>ROUND(C12*530,0)</f>
        <v>5565</v>
      </c>
      <c r="G857" s="36"/>
      <c r="H857" s="17"/>
    </row>
    <row r="858" spans="2:8" s="1" customFormat="1" ht="14.25" thickBot="1" x14ac:dyDescent="0.2">
      <c r="B858" s="34"/>
      <c r="C858" s="18" t="s">
        <v>16</v>
      </c>
      <c r="D858" s="19" t="s">
        <v>56</v>
      </c>
      <c r="E858" s="20" t="s">
        <v>17</v>
      </c>
      <c r="F858" s="21" t="s">
        <v>51</v>
      </c>
      <c r="G858" s="22" t="s">
        <v>20</v>
      </c>
      <c r="H858" s="23" t="s">
        <v>37</v>
      </c>
    </row>
    <row r="859" spans="2:8" s="1" customFormat="1" x14ac:dyDescent="0.15">
      <c r="B859" s="13" t="s">
        <v>1</v>
      </c>
      <c r="C859" s="14" t="s">
        <v>0</v>
      </c>
      <c r="D859" s="29" t="s">
        <v>318</v>
      </c>
      <c r="E859" s="30"/>
      <c r="F859" s="31"/>
      <c r="G859" s="15" t="s">
        <v>57</v>
      </c>
      <c r="H859" s="16" t="s">
        <v>159</v>
      </c>
    </row>
    <row r="860" spans="2:8" s="1" customFormat="1" x14ac:dyDescent="0.15">
      <c r="B860" s="32">
        <v>200170</v>
      </c>
      <c r="C860" s="2" t="s">
        <v>2</v>
      </c>
      <c r="D860" s="9">
        <f>ROUND(C12*880,0)</f>
        <v>9240</v>
      </c>
      <c r="E860" s="3" t="s">
        <v>3</v>
      </c>
      <c r="F860" s="11">
        <f>ROUND(C12*476,0)</f>
        <v>4998</v>
      </c>
      <c r="G860" s="4" t="s">
        <v>8</v>
      </c>
      <c r="H860" s="17" t="s">
        <v>160</v>
      </c>
    </row>
    <row r="861" spans="2:8" s="1" customFormat="1" ht="13.5" customHeight="1" x14ac:dyDescent="0.15">
      <c r="B861" s="33"/>
      <c r="C861" s="5" t="s">
        <v>4</v>
      </c>
      <c r="D861" s="9">
        <f>ROUND(C12*680,0)</f>
        <v>7140</v>
      </c>
      <c r="E861" s="6" t="s">
        <v>5</v>
      </c>
      <c r="F861" s="11">
        <f>ROUND(C12*880,0)</f>
        <v>9240</v>
      </c>
      <c r="G861" s="35">
        <v>50</v>
      </c>
      <c r="H861" s="17"/>
    </row>
    <row r="862" spans="2:8" s="1" customFormat="1" ht="13.5" customHeight="1" x14ac:dyDescent="0.15">
      <c r="B862" s="33"/>
      <c r="C862" s="7" t="s">
        <v>6</v>
      </c>
      <c r="D862" s="10">
        <v>7</v>
      </c>
      <c r="E862" s="8" t="s">
        <v>7</v>
      </c>
      <c r="F862" s="12">
        <f>ROUND(C12*370,0)</f>
        <v>3885</v>
      </c>
      <c r="G862" s="36"/>
      <c r="H862" s="17"/>
    </row>
    <row r="863" spans="2:8" s="1" customFormat="1" ht="14.25" thickBot="1" x14ac:dyDescent="0.2">
      <c r="B863" s="34"/>
      <c r="C863" s="18" t="s">
        <v>16</v>
      </c>
      <c r="D863" s="19" t="s">
        <v>82</v>
      </c>
      <c r="E863" s="20" t="s">
        <v>17</v>
      </c>
      <c r="F863" s="21" t="s">
        <v>32</v>
      </c>
      <c r="G863" s="22" t="s">
        <v>20</v>
      </c>
      <c r="H863" s="23" t="s">
        <v>262</v>
      </c>
    </row>
    <row r="864" spans="2:8" s="1" customFormat="1" x14ac:dyDescent="0.15">
      <c r="B864" s="13" t="s">
        <v>1</v>
      </c>
      <c r="C864" s="14" t="s">
        <v>0</v>
      </c>
      <c r="D864" s="29" t="s">
        <v>319</v>
      </c>
      <c r="E864" s="30"/>
      <c r="F864" s="31"/>
      <c r="G864" s="15" t="s">
        <v>57</v>
      </c>
      <c r="H864" s="16" t="s">
        <v>119</v>
      </c>
    </row>
    <row r="865" spans="2:8" s="1" customFormat="1" x14ac:dyDescent="0.15">
      <c r="B865" s="32">
        <v>200171</v>
      </c>
      <c r="C865" s="2" t="s">
        <v>2</v>
      </c>
      <c r="D865" s="9">
        <f>ROUND(C12*880,0)</f>
        <v>9240</v>
      </c>
      <c r="E865" s="3" t="s">
        <v>3</v>
      </c>
      <c r="F865" s="11">
        <f>ROUND(C12*476,0)</f>
        <v>4998</v>
      </c>
      <c r="G865" s="4" t="s">
        <v>8</v>
      </c>
      <c r="H865" s="17" t="s">
        <v>120</v>
      </c>
    </row>
    <row r="866" spans="2:8" s="1" customFormat="1" ht="13.5" customHeight="1" x14ac:dyDescent="0.15">
      <c r="B866" s="33"/>
      <c r="C866" s="5" t="s">
        <v>4</v>
      </c>
      <c r="D866" s="9">
        <f>ROUND(C12*680,0)</f>
        <v>7140</v>
      </c>
      <c r="E866" s="6" t="s">
        <v>5</v>
      </c>
      <c r="F866" s="11">
        <f>ROUND(C12*880,0)</f>
        <v>9240</v>
      </c>
      <c r="G866" s="35">
        <v>100</v>
      </c>
      <c r="H866" s="17"/>
    </row>
    <row r="867" spans="2:8" s="1" customFormat="1" ht="13.5" customHeight="1" x14ac:dyDescent="0.15">
      <c r="B867" s="33"/>
      <c r="C867" s="7" t="s">
        <v>6</v>
      </c>
      <c r="D867" s="10">
        <v>7</v>
      </c>
      <c r="E867" s="8" t="s">
        <v>7</v>
      </c>
      <c r="F867" s="12">
        <f>ROUND(C12*370,0)</f>
        <v>3885</v>
      </c>
      <c r="G867" s="36"/>
      <c r="H867" s="17"/>
    </row>
    <row r="868" spans="2:8" s="1" customFormat="1" ht="14.25" thickBot="1" x14ac:dyDescent="0.2">
      <c r="B868" s="34"/>
      <c r="C868" s="18" t="s">
        <v>16</v>
      </c>
      <c r="D868" s="19" t="s">
        <v>113</v>
      </c>
      <c r="E868" s="20" t="s">
        <v>17</v>
      </c>
      <c r="F868" s="21" t="s">
        <v>430</v>
      </c>
      <c r="G868" s="22" t="s">
        <v>20</v>
      </c>
      <c r="H868" s="23" t="s">
        <v>121</v>
      </c>
    </row>
    <row r="869" spans="2:8" s="1" customFormat="1" x14ac:dyDescent="0.15">
      <c r="B869" s="13" t="s">
        <v>1</v>
      </c>
      <c r="C869" s="14" t="s">
        <v>0</v>
      </c>
      <c r="D869" s="29" t="s">
        <v>320</v>
      </c>
      <c r="E869" s="30"/>
      <c r="F869" s="31"/>
      <c r="G869" s="15" t="s">
        <v>57</v>
      </c>
      <c r="H869" s="16" t="s">
        <v>111</v>
      </c>
    </row>
    <row r="870" spans="2:8" s="1" customFormat="1" x14ac:dyDescent="0.15">
      <c r="B870" s="32">
        <v>200172</v>
      </c>
      <c r="C870" s="2" t="s">
        <v>2</v>
      </c>
      <c r="D870" s="9">
        <f>ROUND(C12*880,0)</f>
        <v>9240</v>
      </c>
      <c r="E870" s="3" t="s">
        <v>3</v>
      </c>
      <c r="F870" s="11">
        <f>ROUND(C12*476,0)</f>
        <v>4998</v>
      </c>
      <c r="G870" s="4" t="s">
        <v>8</v>
      </c>
      <c r="H870" s="17" t="s">
        <v>112</v>
      </c>
    </row>
    <row r="871" spans="2:8" s="1" customFormat="1" ht="13.5" customHeight="1" x14ac:dyDescent="0.15">
      <c r="B871" s="33"/>
      <c r="C871" s="5" t="s">
        <v>4</v>
      </c>
      <c r="D871" s="9">
        <f>ROUND(C12*680,0)</f>
        <v>7140</v>
      </c>
      <c r="E871" s="6" t="s">
        <v>5</v>
      </c>
      <c r="F871" s="11">
        <f>ROUND(C12*880,0)</f>
        <v>9240</v>
      </c>
      <c r="G871" s="35">
        <v>100</v>
      </c>
      <c r="H871" s="17"/>
    </row>
    <row r="872" spans="2:8" s="1" customFormat="1" ht="13.5" customHeight="1" x14ac:dyDescent="0.15">
      <c r="B872" s="33"/>
      <c r="C872" s="7" t="s">
        <v>6</v>
      </c>
      <c r="D872" s="10">
        <v>7</v>
      </c>
      <c r="E872" s="8" t="s">
        <v>7</v>
      </c>
      <c r="F872" s="12">
        <f>ROUND(C12*370,0)</f>
        <v>3885</v>
      </c>
      <c r="G872" s="36"/>
      <c r="H872" s="17"/>
    </row>
    <row r="873" spans="2:8" s="1" customFormat="1" ht="14.25" thickBot="1" x14ac:dyDescent="0.2">
      <c r="B873" s="34"/>
      <c r="C873" s="18" t="s">
        <v>16</v>
      </c>
      <c r="D873" s="19" t="s">
        <v>397</v>
      </c>
      <c r="E873" s="20" t="s">
        <v>17</v>
      </c>
      <c r="F873" s="21" t="s">
        <v>421</v>
      </c>
      <c r="G873" s="22" t="s">
        <v>20</v>
      </c>
      <c r="H873" s="23" t="s">
        <v>114</v>
      </c>
    </row>
    <row r="874" spans="2:8" s="1" customFormat="1" x14ac:dyDescent="0.15">
      <c r="B874" s="13" t="s">
        <v>1</v>
      </c>
      <c r="C874" s="14" t="s">
        <v>0</v>
      </c>
      <c r="D874" s="29" t="s">
        <v>321</v>
      </c>
      <c r="E874" s="30"/>
      <c r="F874" s="31"/>
      <c r="G874" s="15" t="s">
        <v>57</v>
      </c>
      <c r="H874" s="16" t="s">
        <v>35</v>
      </c>
    </row>
    <row r="875" spans="2:8" s="1" customFormat="1" x14ac:dyDescent="0.15">
      <c r="B875" s="32">
        <v>200173</v>
      </c>
      <c r="C875" s="2" t="s">
        <v>2</v>
      </c>
      <c r="D875" s="9">
        <f>ROUND(C12*880,0)</f>
        <v>9240</v>
      </c>
      <c r="E875" s="3" t="s">
        <v>3</v>
      </c>
      <c r="F875" s="11">
        <f>ROUND(C12*476,0)</f>
        <v>4998</v>
      </c>
      <c r="G875" s="4" t="s">
        <v>8</v>
      </c>
      <c r="H875" s="17" t="s">
        <v>23</v>
      </c>
    </row>
    <row r="876" spans="2:8" s="1" customFormat="1" ht="13.5" customHeight="1" x14ac:dyDescent="0.15">
      <c r="B876" s="33"/>
      <c r="C876" s="5" t="s">
        <v>4</v>
      </c>
      <c r="D876" s="9">
        <f>ROUND(C12*680,0)</f>
        <v>7140</v>
      </c>
      <c r="E876" s="6" t="s">
        <v>5</v>
      </c>
      <c r="F876" s="11">
        <f>ROUND(C12*880,0)</f>
        <v>9240</v>
      </c>
      <c r="G876" s="35">
        <v>100</v>
      </c>
      <c r="H876" s="17"/>
    </row>
    <row r="877" spans="2:8" s="1" customFormat="1" ht="13.5" customHeight="1" x14ac:dyDescent="0.15">
      <c r="B877" s="33"/>
      <c r="C877" s="7" t="s">
        <v>6</v>
      </c>
      <c r="D877" s="10">
        <v>7</v>
      </c>
      <c r="E877" s="8" t="s">
        <v>7</v>
      </c>
      <c r="F877" s="12">
        <f>ROUND(C12*450,0)</f>
        <v>4725</v>
      </c>
      <c r="G877" s="36"/>
      <c r="H877" s="17"/>
    </row>
    <row r="878" spans="2:8" s="1" customFormat="1" ht="14.25" thickBot="1" x14ac:dyDescent="0.2">
      <c r="B878" s="34"/>
      <c r="C878" s="18" t="s">
        <v>16</v>
      </c>
      <c r="D878" s="19" t="s">
        <v>48</v>
      </c>
      <c r="E878" s="20" t="s">
        <v>17</v>
      </c>
      <c r="F878" s="21" t="s">
        <v>49</v>
      </c>
      <c r="G878" s="22" t="s">
        <v>20</v>
      </c>
      <c r="H878" s="23" t="s">
        <v>37</v>
      </c>
    </row>
    <row r="879" spans="2:8" s="1" customFormat="1" x14ac:dyDescent="0.15">
      <c r="B879" s="13" t="s">
        <v>1</v>
      </c>
      <c r="C879" s="14" t="s">
        <v>0</v>
      </c>
      <c r="D879" s="29" t="s">
        <v>322</v>
      </c>
      <c r="E879" s="30"/>
      <c r="F879" s="31"/>
      <c r="G879" s="15" t="s">
        <v>57</v>
      </c>
      <c r="H879" s="16" t="s">
        <v>91</v>
      </c>
    </row>
    <row r="880" spans="2:8" s="1" customFormat="1" x14ac:dyDescent="0.15">
      <c r="B880" s="32">
        <v>200174</v>
      </c>
      <c r="C880" s="2" t="s">
        <v>2</v>
      </c>
      <c r="D880" s="9">
        <f>ROUND(C12*880,0)</f>
        <v>9240</v>
      </c>
      <c r="E880" s="3" t="s">
        <v>3</v>
      </c>
      <c r="F880" s="11">
        <f>ROUND(C12*476,0)</f>
        <v>4998</v>
      </c>
      <c r="G880" s="4" t="s">
        <v>8</v>
      </c>
      <c r="H880" s="17" t="s">
        <v>92</v>
      </c>
    </row>
    <row r="881" spans="2:8" s="1" customFormat="1" ht="13.5" customHeight="1" x14ac:dyDescent="0.15">
      <c r="B881" s="33"/>
      <c r="C881" s="5" t="s">
        <v>4</v>
      </c>
      <c r="D881" s="9">
        <f>ROUND(C12*680,0)</f>
        <v>7140</v>
      </c>
      <c r="E881" s="6" t="s">
        <v>5</v>
      </c>
      <c r="F881" s="11">
        <f>ROUND(C12*880,0)</f>
        <v>9240</v>
      </c>
      <c r="G881" s="35">
        <v>100</v>
      </c>
      <c r="H881" s="17"/>
    </row>
    <row r="882" spans="2:8" s="1" customFormat="1" ht="13.5" customHeight="1" x14ac:dyDescent="0.15">
      <c r="B882" s="33"/>
      <c r="C882" s="7" t="s">
        <v>6</v>
      </c>
      <c r="D882" s="10">
        <v>7</v>
      </c>
      <c r="E882" s="8" t="s">
        <v>7</v>
      </c>
      <c r="F882" s="12">
        <f>ROUND(C12*450,0)</f>
        <v>4725</v>
      </c>
      <c r="G882" s="36"/>
      <c r="H882" s="17"/>
    </row>
    <row r="883" spans="2:8" s="1" customFormat="1" ht="14.25" thickBot="1" x14ac:dyDescent="0.2">
      <c r="B883" s="34"/>
      <c r="C883" s="18" t="s">
        <v>16</v>
      </c>
      <c r="D883" s="19" t="s">
        <v>93</v>
      </c>
      <c r="E883" s="20" t="s">
        <v>17</v>
      </c>
      <c r="F883" s="21" t="s">
        <v>113</v>
      </c>
      <c r="G883" s="22" t="s">
        <v>20</v>
      </c>
      <c r="H883" s="23" t="s">
        <v>37</v>
      </c>
    </row>
    <row r="884" spans="2:8" s="1" customFormat="1" x14ac:dyDescent="0.15">
      <c r="B884" s="13" t="s">
        <v>1</v>
      </c>
      <c r="C884" s="14" t="s">
        <v>0</v>
      </c>
      <c r="D884" s="29" t="s">
        <v>323</v>
      </c>
      <c r="E884" s="30"/>
      <c r="F884" s="31"/>
      <c r="G884" s="15" t="s">
        <v>57</v>
      </c>
      <c r="H884" s="16" t="s">
        <v>44</v>
      </c>
    </row>
    <row r="885" spans="2:8" s="1" customFormat="1" x14ac:dyDescent="0.15">
      <c r="B885" s="32">
        <v>200175</v>
      </c>
      <c r="C885" s="2" t="s">
        <v>2</v>
      </c>
      <c r="D885" s="9">
        <f>ROUND(C12*880,0)</f>
        <v>9240</v>
      </c>
      <c r="E885" s="3" t="s">
        <v>3</v>
      </c>
      <c r="F885" s="11">
        <f>ROUND(C12*980,0)</f>
        <v>10290</v>
      </c>
      <c r="G885" s="4" t="s">
        <v>8</v>
      </c>
      <c r="H885" s="17" t="s">
        <v>26</v>
      </c>
    </row>
    <row r="886" spans="2:8" s="1" customFormat="1" ht="13.5" customHeight="1" x14ac:dyDescent="0.15">
      <c r="B886" s="33"/>
      <c r="C886" s="5" t="s">
        <v>4</v>
      </c>
      <c r="D886" s="9">
        <f>ROUND(C12*680,0)</f>
        <v>7140</v>
      </c>
      <c r="E886" s="6" t="s">
        <v>5</v>
      </c>
      <c r="F886" s="11">
        <f>ROUND(C12*1936,0)</f>
        <v>20328</v>
      </c>
      <c r="G886" s="35">
        <v>100</v>
      </c>
      <c r="H886" s="17"/>
    </row>
    <row r="887" spans="2:8" s="1" customFormat="1" ht="13.5" customHeight="1" x14ac:dyDescent="0.15">
      <c r="B887" s="33"/>
      <c r="C887" s="7" t="s">
        <v>6</v>
      </c>
      <c r="D887" s="10">
        <v>4</v>
      </c>
      <c r="E887" s="8" t="s">
        <v>7</v>
      </c>
      <c r="F887" s="12">
        <f>ROUND(C12*380,0)</f>
        <v>3990</v>
      </c>
      <c r="G887" s="36"/>
      <c r="H887" s="17"/>
    </row>
    <row r="888" spans="2:8" s="1" customFormat="1" ht="14.25" thickBot="1" x14ac:dyDescent="0.2">
      <c r="B888" s="34"/>
      <c r="C888" s="18" t="s">
        <v>16</v>
      </c>
      <c r="D888" s="19" t="s">
        <v>293</v>
      </c>
      <c r="E888" s="20" t="s">
        <v>17</v>
      </c>
      <c r="F888" s="21" t="s">
        <v>399</v>
      </c>
      <c r="G888" s="22" t="s">
        <v>20</v>
      </c>
      <c r="H888" s="23" t="s">
        <v>37</v>
      </c>
    </row>
    <row r="889" spans="2:8" s="1" customFormat="1" x14ac:dyDescent="0.15">
      <c r="B889" s="13" t="s">
        <v>1</v>
      </c>
      <c r="C889" s="14" t="s">
        <v>0</v>
      </c>
      <c r="D889" s="29" t="s">
        <v>324</v>
      </c>
      <c r="E889" s="30"/>
      <c r="F889" s="31"/>
      <c r="G889" s="15" t="s">
        <v>57</v>
      </c>
      <c r="H889" s="16" t="s">
        <v>50</v>
      </c>
    </row>
    <row r="890" spans="2:8" s="1" customFormat="1" x14ac:dyDescent="0.15">
      <c r="B890" s="32">
        <v>200176</v>
      </c>
      <c r="C890" s="2" t="s">
        <v>2</v>
      </c>
      <c r="D890" s="9">
        <f>ROUND(C12*880,0)</f>
        <v>9240</v>
      </c>
      <c r="E890" s="3" t="s">
        <v>3</v>
      </c>
      <c r="F890" s="11">
        <f>ROUND(C12*980,0)</f>
        <v>10290</v>
      </c>
      <c r="G890" s="4" t="s">
        <v>8</v>
      </c>
      <c r="H890" s="17" t="s">
        <v>29</v>
      </c>
    </row>
    <row r="891" spans="2:8" s="1" customFormat="1" ht="13.5" customHeight="1" x14ac:dyDescent="0.15">
      <c r="B891" s="33"/>
      <c r="C891" s="5" t="s">
        <v>4</v>
      </c>
      <c r="D891" s="9">
        <f>ROUND(C12*680,0)</f>
        <v>7140</v>
      </c>
      <c r="E891" s="6" t="s">
        <v>5</v>
      </c>
      <c r="F891" s="11">
        <f>ROUND(C12*1936,0)</f>
        <v>20328</v>
      </c>
      <c r="G891" s="35">
        <v>100</v>
      </c>
      <c r="H891" s="17"/>
    </row>
    <row r="892" spans="2:8" s="1" customFormat="1" ht="13.5" customHeight="1" x14ac:dyDescent="0.15">
      <c r="B892" s="33"/>
      <c r="C892" s="7" t="s">
        <v>6</v>
      </c>
      <c r="D892" s="10">
        <v>4</v>
      </c>
      <c r="E892" s="8" t="s">
        <v>7</v>
      </c>
      <c r="F892" s="12">
        <f>ROUND(C12*380,0)</f>
        <v>3990</v>
      </c>
      <c r="G892" s="36"/>
      <c r="H892" s="17"/>
    </row>
    <row r="893" spans="2:8" s="1" customFormat="1" ht="14.25" thickBot="1" x14ac:dyDescent="0.2">
      <c r="B893" s="34"/>
      <c r="C893" s="18" t="s">
        <v>16</v>
      </c>
      <c r="D893" s="19" t="s">
        <v>258</v>
      </c>
      <c r="E893" s="20" t="s">
        <v>17</v>
      </c>
      <c r="F893" s="21" t="s">
        <v>56</v>
      </c>
      <c r="G893" s="22" t="s">
        <v>20</v>
      </c>
      <c r="H893" s="23" t="s">
        <v>37</v>
      </c>
    </row>
    <row r="894" spans="2:8" s="1" customFormat="1" x14ac:dyDescent="0.15">
      <c r="B894" s="13" t="s">
        <v>1</v>
      </c>
      <c r="C894" s="14" t="s">
        <v>0</v>
      </c>
      <c r="D894" s="29" t="s">
        <v>325</v>
      </c>
      <c r="E894" s="30"/>
      <c r="F894" s="31"/>
      <c r="G894" s="15" t="s">
        <v>57</v>
      </c>
      <c r="H894" s="16" t="s">
        <v>326</v>
      </c>
    </row>
    <row r="895" spans="2:8" s="1" customFormat="1" x14ac:dyDescent="0.15">
      <c r="B895" s="32">
        <v>200177</v>
      </c>
      <c r="C895" s="2" t="s">
        <v>2</v>
      </c>
      <c r="D895" s="9">
        <f>ROUND(C12*880,0)</f>
        <v>9240</v>
      </c>
      <c r="E895" s="3" t="s">
        <v>3</v>
      </c>
      <c r="F895" s="11">
        <f>ROUND(C12*476,0)</f>
        <v>4998</v>
      </c>
      <c r="G895" s="4" t="s">
        <v>8</v>
      </c>
      <c r="H895" s="17" t="s">
        <v>160</v>
      </c>
    </row>
    <row r="896" spans="2:8" s="1" customFormat="1" ht="13.5" customHeight="1" x14ac:dyDescent="0.15">
      <c r="B896" s="33"/>
      <c r="C896" s="5" t="s">
        <v>4</v>
      </c>
      <c r="D896" s="9">
        <f>ROUND(C12*680,0)</f>
        <v>7140</v>
      </c>
      <c r="E896" s="6" t="s">
        <v>5</v>
      </c>
      <c r="F896" s="11">
        <f>ROUND(C12*880,0)</f>
        <v>9240</v>
      </c>
      <c r="G896" s="35">
        <v>50</v>
      </c>
      <c r="H896" s="17"/>
    </row>
    <row r="897" spans="2:8" s="1" customFormat="1" ht="13.5" customHeight="1" x14ac:dyDescent="0.15">
      <c r="B897" s="33"/>
      <c r="C897" s="7" t="s">
        <v>6</v>
      </c>
      <c r="D897" s="10">
        <v>7</v>
      </c>
      <c r="E897" s="8" t="s">
        <v>7</v>
      </c>
      <c r="F897" s="12">
        <f>ROUND(C12*530,0)</f>
        <v>5565</v>
      </c>
      <c r="G897" s="36"/>
      <c r="H897" s="17"/>
    </row>
    <row r="898" spans="2:8" s="1" customFormat="1" ht="14.25" thickBot="1" x14ac:dyDescent="0.2">
      <c r="B898" s="34"/>
      <c r="C898" s="18" t="s">
        <v>16</v>
      </c>
      <c r="D898" s="19" t="s">
        <v>45</v>
      </c>
      <c r="E898" s="20" t="s">
        <v>17</v>
      </c>
      <c r="F898" s="21" t="s">
        <v>405</v>
      </c>
      <c r="G898" s="22" t="s">
        <v>20</v>
      </c>
      <c r="H898" s="23" t="s">
        <v>37</v>
      </c>
    </row>
    <row r="899" spans="2:8" s="1" customFormat="1" x14ac:dyDescent="0.15">
      <c r="B899" s="13" t="s">
        <v>1</v>
      </c>
      <c r="C899" s="14" t="s">
        <v>0</v>
      </c>
      <c r="D899" s="29" t="s">
        <v>327</v>
      </c>
      <c r="E899" s="30"/>
      <c r="F899" s="31"/>
      <c r="G899" s="15" t="s">
        <v>57</v>
      </c>
      <c r="H899" s="16" t="s">
        <v>77</v>
      </c>
    </row>
    <row r="900" spans="2:8" s="1" customFormat="1" x14ac:dyDescent="0.15">
      <c r="B900" s="32">
        <v>200178</v>
      </c>
      <c r="C900" s="2" t="s">
        <v>2</v>
      </c>
      <c r="D900" s="9">
        <f>ROUND(C12*880,0)</f>
        <v>9240</v>
      </c>
      <c r="E900" s="3" t="s">
        <v>3</v>
      </c>
      <c r="F900" s="11">
        <f>ROUND(C12*980,0)</f>
        <v>10290</v>
      </c>
      <c r="G900" s="4" t="s">
        <v>8</v>
      </c>
      <c r="H900" s="17" t="s">
        <v>78</v>
      </c>
    </row>
    <row r="901" spans="2:8" s="1" customFormat="1" ht="13.5" customHeight="1" x14ac:dyDescent="0.15">
      <c r="B901" s="33"/>
      <c r="C901" s="5" t="s">
        <v>4</v>
      </c>
      <c r="D901" s="9">
        <f>ROUND(C12*680,0)</f>
        <v>7140</v>
      </c>
      <c r="E901" s="6" t="s">
        <v>5</v>
      </c>
      <c r="F901" s="11">
        <f>ROUND(C12*1936,0)</f>
        <v>20328</v>
      </c>
      <c r="G901" s="35">
        <v>100</v>
      </c>
      <c r="H901" s="17"/>
    </row>
    <row r="902" spans="2:8" s="1" customFormat="1" ht="13.5" customHeight="1" x14ac:dyDescent="0.15">
      <c r="B902" s="33"/>
      <c r="C902" s="7" t="s">
        <v>6</v>
      </c>
      <c r="D902" s="10">
        <v>4</v>
      </c>
      <c r="E902" s="8" t="s">
        <v>7</v>
      </c>
      <c r="F902" s="12">
        <f>ROUND(C12*400,0)</f>
        <v>4200</v>
      </c>
      <c r="G902" s="36"/>
      <c r="H902" s="17"/>
    </row>
    <row r="903" spans="2:8" s="1" customFormat="1" ht="14.25" thickBot="1" x14ac:dyDescent="0.2">
      <c r="B903" s="34"/>
      <c r="C903" s="18" t="s">
        <v>16</v>
      </c>
      <c r="D903" s="19" t="s">
        <v>85</v>
      </c>
      <c r="E903" s="20" t="s">
        <v>17</v>
      </c>
      <c r="F903" s="21" t="s">
        <v>49</v>
      </c>
      <c r="G903" s="22" t="s">
        <v>20</v>
      </c>
      <c r="H903" s="23" t="s">
        <v>37</v>
      </c>
    </row>
    <row r="904" spans="2:8" s="1" customFormat="1" x14ac:dyDescent="0.15">
      <c r="B904" s="13" t="s">
        <v>1</v>
      </c>
      <c r="C904" s="14" t="s">
        <v>0</v>
      </c>
      <c r="D904" s="29" t="s">
        <v>328</v>
      </c>
      <c r="E904" s="30"/>
      <c r="F904" s="31"/>
      <c r="G904" s="15" t="s">
        <v>57</v>
      </c>
      <c r="H904" s="16" t="s">
        <v>80</v>
      </c>
    </row>
    <row r="905" spans="2:8" s="1" customFormat="1" x14ac:dyDescent="0.15">
      <c r="B905" s="32">
        <v>200179</v>
      </c>
      <c r="C905" s="2" t="s">
        <v>2</v>
      </c>
      <c r="D905" s="9">
        <f>ROUND(C12*880,0)</f>
        <v>9240</v>
      </c>
      <c r="E905" s="3" t="s">
        <v>3</v>
      </c>
      <c r="F905" s="11">
        <f>ROUND(C12*476,0)</f>
        <v>4998</v>
      </c>
      <c r="G905" s="4" t="s">
        <v>8</v>
      </c>
      <c r="H905" s="17" t="s">
        <v>81</v>
      </c>
    </row>
    <row r="906" spans="2:8" s="1" customFormat="1" ht="13.5" customHeight="1" x14ac:dyDescent="0.15">
      <c r="B906" s="33"/>
      <c r="C906" s="5" t="s">
        <v>4</v>
      </c>
      <c r="D906" s="9">
        <f>ROUND(C12*680,0)</f>
        <v>7140</v>
      </c>
      <c r="E906" s="6" t="s">
        <v>5</v>
      </c>
      <c r="F906" s="11">
        <f>ROUND(C12*880,0)</f>
        <v>9240</v>
      </c>
      <c r="G906" s="35">
        <v>100</v>
      </c>
      <c r="H906" s="17"/>
    </row>
    <row r="907" spans="2:8" s="1" customFormat="1" ht="13.5" customHeight="1" x14ac:dyDescent="0.15">
      <c r="B907" s="33"/>
      <c r="C907" s="7" t="s">
        <v>6</v>
      </c>
      <c r="D907" s="10">
        <v>7</v>
      </c>
      <c r="E907" s="8" t="s">
        <v>7</v>
      </c>
      <c r="F907" s="12">
        <f>ROUND(C12*450,0)</f>
        <v>4725</v>
      </c>
      <c r="G907" s="36"/>
      <c r="H907" s="17"/>
    </row>
    <row r="908" spans="2:8" s="1" customFormat="1" ht="14.25" thickBot="1" x14ac:dyDescent="0.2">
      <c r="B908" s="34"/>
      <c r="C908" s="18" t="s">
        <v>16</v>
      </c>
      <c r="D908" s="19" t="s">
        <v>93</v>
      </c>
      <c r="E908" s="20" t="s">
        <v>17</v>
      </c>
      <c r="F908" s="21" t="s">
        <v>113</v>
      </c>
      <c r="G908" s="22" t="s">
        <v>20</v>
      </c>
      <c r="H908" s="23" t="s">
        <v>37</v>
      </c>
    </row>
    <row r="909" spans="2:8" s="1" customFormat="1" x14ac:dyDescent="0.15">
      <c r="B909" s="13" t="s">
        <v>1</v>
      </c>
      <c r="C909" s="14" t="s">
        <v>0</v>
      </c>
      <c r="D909" s="29" t="s">
        <v>329</v>
      </c>
      <c r="E909" s="30"/>
      <c r="F909" s="31"/>
      <c r="G909" s="15" t="s">
        <v>57</v>
      </c>
      <c r="H909" s="16" t="s">
        <v>116</v>
      </c>
    </row>
    <row r="910" spans="2:8" s="1" customFormat="1" x14ac:dyDescent="0.15">
      <c r="B910" s="32">
        <v>200180</v>
      </c>
      <c r="C910" s="2" t="s">
        <v>2</v>
      </c>
      <c r="D910" s="9">
        <f>ROUND(C12*880,0)</f>
        <v>9240</v>
      </c>
      <c r="E910" s="3" t="s">
        <v>3</v>
      </c>
      <c r="F910" s="11">
        <f>ROUND(C12*476,0)</f>
        <v>4998</v>
      </c>
      <c r="G910" s="4" t="s">
        <v>8</v>
      </c>
      <c r="H910" s="17" t="s">
        <v>117</v>
      </c>
    </row>
    <row r="911" spans="2:8" s="1" customFormat="1" ht="13.5" customHeight="1" x14ac:dyDescent="0.15">
      <c r="B911" s="33"/>
      <c r="C911" s="5" t="s">
        <v>4</v>
      </c>
      <c r="D911" s="9">
        <f>ROUND(C12*680,0)</f>
        <v>7140</v>
      </c>
      <c r="E911" s="6" t="s">
        <v>5</v>
      </c>
      <c r="F911" s="11">
        <f>ROUND(C12*880,0)</f>
        <v>9240</v>
      </c>
      <c r="G911" s="35">
        <v>100</v>
      </c>
      <c r="H911" s="17"/>
    </row>
    <row r="912" spans="2:8" s="1" customFormat="1" ht="13.5" customHeight="1" x14ac:dyDescent="0.15">
      <c r="B912" s="33"/>
      <c r="C912" s="7" t="s">
        <v>6</v>
      </c>
      <c r="D912" s="10">
        <v>7</v>
      </c>
      <c r="E912" s="8" t="s">
        <v>7</v>
      </c>
      <c r="F912" s="12">
        <f>ROUND(C12*480,0)</f>
        <v>5040</v>
      </c>
      <c r="G912" s="36"/>
      <c r="H912" s="17"/>
    </row>
    <row r="913" spans="2:8" s="1" customFormat="1" ht="14.25" thickBot="1" x14ac:dyDescent="0.2">
      <c r="B913" s="34"/>
      <c r="C913" s="18" t="s">
        <v>16</v>
      </c>
      <c r="D913" s="19" t="s">
        <v>293</v>
      </c>
      <c r="E913" s="20" t="s">
        <v>17</v>
      </c>
      <c r="F913" s="21" t="s">
        <v>428</v>
      </c>
      <c r="G913" s="22" t="s">
        <v>20</v>
      </c>
      <c r="H913" s="23" t="s">
        <v>37</v>
      </c>
    </row>
    <row r="914" spans="2:8" s="1" customFormat="1" x14ac:dyDescent="0.15">
      <c r="B914" s="13" t="s">
        <v>1</v>
      </c>
      <c r="C914" s="14" t="s">
        <v>0</v>
      </c>
      <c r="D914" s="29" t="s">
        <v>330</v>
      </c>
      <c r="E914" s="30"/>
      <c r="F914" s="31"/>
      <c r="G914" s="15" t="s">
        <v>57</v>
      </c>
      <c r="H914" s="16" t="s">
        <v>50</v>
      </c>
    </row>
    <row r="915" spans="2:8" s="1" customFormat="1" x14ac:dyDescent="0.15">
      <c r="B915" s="32">
        <v>200181</v>
      </c>
      <c r="C915" s="2" t="s">
        <v>2</v>
      </c>
      <c r="D915" s="9">
        <f>ROUND(C12*880,0)</f>
        <v>9240</v>
      </c>
      <c r="E915" s="3" t="s">
        <v>3</v>
      </c>
      <c r="F915" s="11">
        <f>ROUND(C12*980,0)</f>
        <v>10290</v>
      </c>
      <c r="G915" s="4" t="s">
        <v>8</v>
      </c>
      <c r="H915" s="17" t="s">
        <v>29</v>
      </c>
    </row>
    <row r="916" spans="2:8" s="1" customFormat="1" ht="13.5" customHeight="1" x14ac:dyDescent="0.15">
      <c r="B916" s="33"/>
      <c r="C916" s="5" t="s">
        <v>4</v>
      </c>
      <c r="D916" s="9">
        <f>ROUND(C12*680,0)</f>
        <v>7140</v>
      </c>
      <c r="E916" s="6" t="s">
        <v>5</v>
      </c>
      <c r="F916" s="11">
        <f>ROUND(C12*1936,0)</f>
        <v>20328</v>
      </c>
      <c r="G916" s="35">
        <v>100</v>
      </c>
      <c r="H916" s="17"/>
    </row>
    <row r="917" spans="2:8" s="1" customFormat="1" ht="13.5" customHeight="1" x14ac:dyDescent="0.15">
      <c r="B917" s="33"/>
      <c r="C917" s="7" t="s">
        <v>6</v>
      </c>
      <c r="D917" s="10">
        <v>4</v>
      </c>
      <c r="E917" s="8" t="s">
        <v>7</v>
      </c>
      <c r="F917" s="12">
        <f>ROUND(C12*400,0)</f>
        <v>4200</v>
      </c>
      <c r="G917" s="36"/>
      <c r="H917" s="17"/>
    </row>
    <row r="918" spans="2:8" s="1" customFormat="1" ht="14.25" thickBot="1" x14ac:dyDescent="0.2">
      <c r="B918" s="34"/>
      <c r="C918" s="18" t="s">
        <v>16</v>
      </c>
      <c r="D918" s="19" t="s">
        <v>396</v>
      </c>
      <c r="E918" s="20" t="s">
        <v>17</v>
      </c>
      <c r="F918" s="21" t="s">
        <v>56</v>
      </c>
      <c r="G918" s="22" t="s">
        <v>20</v>
      </c>
      <c r="H918" s="23" t="s">
        <v>37</v>
      </c>
    </row>
    <row r="919" spans="2:8" s="1" customFormat="1" x14ac:dyDescent="0.15">
      <c r="B919" s="13" t="s">
        <v>1</v>
      </c>
      <c r="C919" s="14" t="s">
        <v>0</v>
      </c>
      <c r="D919" s="29" t="s">
        <v>331</v>
      </c>
      <c r="E919" s="30"/>
      <c r="F919" s="31"/>
      <c r="G919" s="15" t="s">
        <v>57</v>
      </c>
      <c r="H919" s="16" t="s">
        <v>35</v>
      </c>
    </row>
    <row r="920" spans="2:8" s="1" customFormat="1" x14ac:dyDescent="0.15">
      <c r="B920" s="32">
        <v>200182</v>
      </c>
      <c r="C920" s="2" t="s">
        <v>2</v>
      </c>
      <c r="D920" s="9">
        <f>ROUND(C12*880,0)</f>
        <v>9240</v>
      </c>
      <c r="E920" s="3" t="s">
        <v>3</v>
      </c>
      <c r="F920" s="11">
        <f>ROUND(C12*476,0)</f>
        <v>4998</v>
      </c>
      <c r="G920" s="4" t="s">
        <v>8</v>
      </c>
      <c r="H920" s="17" t="s">
        <v>23</v>
      </c>
    </row>
    <row r="921" spans="2:8" s="1" customFormat="1" ht="13.5" customHeight="1" x14ac:dyDescent="0.15">
      <c r="B921" s="33"/>
      <c r="C921" s="5" t="s">
        <v>4</v>
      </c>
      <c r="D921" s="9">
        <f>ROUND(C12*680,0)</f>
        <v>7140</v>
      </c>
      <c r="E921" s="6" t="s">
        <v>5</v>
      </c>
      <c r="F921" s="11">
        <f>ROUND(C12*880,0)</f>
        <v>9240</v>
      </c>
      <c r="G921" s="35">
        <v>100</v>
      </c>
      <c r="H921" s="17"/>
    </row>
    <row r="922" spans="2:8" s="1" customFormat="1" ht="13.5" customHeight="1" x14ac:dyDescent="0.15">
      <c r="B922" s="33"/>
      <c r="C922" s="7" t="s">
        <v>6</v>
      </c>
      <c r="D922" s="10">
        <v>7</v>
      </c>
      <c r="E922" s="8" t="s">
        <v>7</v>
      </c>
      <c r="F922" s="12">
        <f>ROUND(C12*450,0)</f>
        <v>4725</v>
      </c>
      <c r="G922" s="36"/>
      <c r="H922" s="17"/>
    </row>
    <row r="923" spans="2:8" s="1" customFormat="1" ht="14.25" thickBot="1" x14ac:dyDescent="0.2">
      <c r="B923" s="34"/>
      <c r="C923" s="18" t="s">
        <v>16</v>
      </c>
      <c r="D923" s="19" t="s">
        <v>405</v>
      </c>
      <c r="E923" s="20" t="s">
        <v>17</v>
      </c>
      <c r="F923" s="21" t="s">
        <v>36</v>
      </c>
      <c r="G923" s="22" t="s">
        <v>20</v>
      </c>
      <c r="H923" s="23" t="s">
        <v>37</v>
      </c>
    </row>
    <row r="924" spans="2:8" s="1" customFormat="1" x14ac:dyDescent="0.15">
      <c r="B924" s="13" t="s">
        <v>1</v>
      </c>
      <c r="C924" s="14" t="s">
        <v>0</v>
      </c>
      <c r="D924" s="29" t="s">
        <v>332</v>
      </c>
      <c r="E924" s="30"/>
      <c r="F924" s="31"/>
      <c r="G924" s="15" t="s">
        <v>57</v>
      </c>
      <c r="H924" s="16" t="s">
        <v>41</v>
      </c>
    </row>
    <row r="925" spans="2:8" s="1" customFormat="1" x14ac:dyDescent="0.15">
      <c r="B925" s="32">
        <v>200183</v>
      </c>
      <c r="C925" s="2" t="s">
        <v>2</v>
      </c>
      <c r="D925" s="9">
        <f>ROUND(C12*880,0)</f>
        <v>9240</v>
      </c>
      <c r="E925" s="3" t="s">
        <v>3</v>
      </c>
      <c r="F925" s="11">
        <f>ROUND(C12*980,0)</f>
        <v>10290</v>
      </c>
      <c r="G925" s="4" t="s">
        <v>8</v>
      </c>
      <c r="H925" s="17" t="s">
        <v>25</v>
      </c>
    </row>
    <row r="926" spans="2:8" s="1" customFormat="1" ht="13.5" customHeight="1" x14ac:dyDescent="0.15">
      <c r="B926" s="33"/>
      <c r="C926" s="5" t="s">
        <v>4</v>
      </c>
      <c r="D926" s="9">
        <f>ROUND(C12*680,0)</f>
        <v>7140</v>
      </c>
      <c r="E926" s="6" t="s">
        <v>5</v>
      </c>
      <c r="F926" s="11">
        <f>ROUND(C12*1936,0)</f>
        <v>20328</v>
      </c>
      <c r="G926" s="35">
        <v>100</v>
      </c>
      <c r="H926" s="17"/>
    </row>
    <row r="927" spans="2:8" s="1" customFormat="1" ht="13.5" customHeight="1" x14ac:dyDescent="0.15">
      <c r="B927" s="33"/>
      <c r="C927" s="7" t="s">
        <v>6</v>
      </c>
      <c r="D927" s="10">
        <v>4</v>
      </c>
      <c r="E927" s="8" t="s">
        <v>7</v>
      </c>
      <c r="F927" s="12">
        <f>ROUND(C12*520,0)</f>
        <v>5460</v>
      </c>
      <c r="G927" s="36"/>
      <c r="H927" s="17"/>
    </row>
    <row r="928" spans="2:8" s="1" customFormat="1" ht="14.25" thickBot="1" x14ac:dyDescent="0.2">
      <c r="B928" s="34"/>
      <c r="C928" s="18" t="s">
        <v>16</v>
      </c>
      <c r="D928" s="19" t="s">
        <v>113</v>
      </c>
      <c r="E928" s="20" t="s">
        <v>17</v>
      </c>
      <c r="F928" s="21" t="s">
        <v>93</v>
      </c>
      <c r="G928" s="22" t="s">
        <v>20</v>
      </c>
      <c r="H928" s="23" t="s">
        <v>37</v>
      </c>
    </row>
    <row r="929" spans="2:8" s="1" customFormat="1" x14ac:dyDescent="0.15">
      <c r="B929" s="13" t="s">
        <v>1</v>
      </c>
      <c r="C929" s="14" t="s">
        <v>0</v>
      </c>
      <c r="D929" s="29" t="s">
        <v>333</v>
      </c>
      <c r="E929" s="30"/>
      <c r="F929" s="31"/>
      <c r="G929" s="15" t="s">
        <v>57</v>
      </c>
      <c r="H929" s="16" t="s">
        <v>334</v>
      </c>
    </row>
    <row r="930" spans="2:8" s="1" customFormat="1" x14ac:dyDescent="0.15">
      <c r="B930" s="32">
        <v>200184</v>
      </c>
      <c r="C930" s="2" t="s">
        <v>2</v>
      </c>
      <c r="D930" s="9">
        <f>ROUND(C12*880,0)</f>
        <v>9240</v>
      </c>
      <c r="E930" s="3" t="s">
        <v>3</v>
      </c>
      <c r="F930" s="11">
        <f>ROUND(C12*476,0)</f>
        <v>4998</v>
      </c>
      <c r="G930" s="4" t="s">
        <v>8</v>
      </c>
      <c r="H930" s="17" t="s">
        <v>96</v>
      </c>
    </row>
    <row r="931" spans="2:8" s="1" customFormat="1" ht="13.5" customHeight="1" x14ac:dyDescent="0.15">
      <c r="B931" s="33"/>
      <c r="C931" s="5" t="s">
        <v>4</v>
      </c>
      <c r="D931" s="9">
        <f>ROUND(C12*680,0)</f>
        <v>7140</v>
      </c>
      <c r="E931" s="6" t="s">
        <v>5</v>
      </c>
      <c r="F931" s="11">
        <f>ROUND(C12*880,0)</f>
        <v>9240</v>
      </c>
      <c r="G931" s="35">
        <v>50</v>
      </c>
      <c r="H931" s="17"/>
    </row>
    <row r="932" spans="2:8" s="1" customFormat="1" ht="13.5" customHeight="1" x14ac:dyDescent="0.15">
      <c r="B932" s="33"/>
      <c r="C932" s="7" t="s">
        <v>6</v>
      </c>
      <c r="D932" s="10">
        <v>7</v>
      </c>
      <c r="E932" s="8" t="s">
        <v>7</v>
      </c>
      <c r="F932" s="12">
        <f>ROUND(C12*400,0)</f>
        <v>4200</v>
      </c>
      <c r="G932" s="36"/>
      <c r="H932" s="17"/>
    </row>
    <row r="933" spans="2:8" s="1" customFormat="1" ht="14.25" thickBot="1" x14ac:dyDescent="0.2">
      <c r="B933" s="34"/>
      <c r="C933" s="18" t="s">
        <v>16</v>
      </c>
      <c r="D933" s="19" t="s">
        <v>258</v>
      </c>
      <c r="E933" s="20" t="s">
        <v>17</v>
      </c>
      <c r="F933" s="21" t="s">
        <v>85</v>
      </c>
      <c r="G933" s="22" t="s">
        <v>20</v>
      </c>
      <c r="H933" s="23" t="s">
        <v>121</v>
      </c>
    </row>
    <row r="934" spans="2:8" s="1" customFormat="1" x14ac:dyDescent="0.15">
      <c r="B934" s="13" t="s">
        <v>1</v>
      </c>
      <c r="C934" s="14" t="s">
        <v>0</v>
      </c>
      <c r="D934" s="29" t="s">
        <v>335</v>
      </c>
      <c r="E934" s="30"/>
      <c r="F934" s="31"/>
      <c r="G934" s="15" t="s">
        <v>57</v>
      </c>
      <c r="H934" s="16" t="s">
        <v>35</v>
      </c>
    </row>
    <row r="935" spans="2:8" s="1" customFormat="1" x14ac:dyDescent="0.15">
      <c r="B935" s="32">
        <v>200185</v>
      </c>
      <c r="C935" s="2" t="s">
        <v>2</v>
      </c>
      <c r="D935" s="9">
        <f>ROUND(C12*880,0)</f>
        <v>9240</v>
      </c>
      <c r="E935" s="3" t="s">
        <v>3</v>
      </c>
      <c r="F935" s="11">
        <f>ROUND(C12*980,0)</f>
        <v>10290</v>
      </c>
      <c r="G935" s="4" t="s">
        <v>8</v>
      </c>
      <c r="H935" s="17" t="s">
        <v>23</v>
      </c>
    </row>
    <row r="936" spans="2:8" s="1" customFormat="1" ht="13.5" customHeight="1" x14ac:dyDescent="0.15">
      <c r="B936" s="33"/>
      <c r="C936" s="5" t="s">
        <v>4</v>
      </c>
      <c r="D936" s="9">
        <f>ROUND(C12*680,0)</f>
        <v>7140</v>
      </c>
      <c r="E936" s="6" t="s">
        <v>5</v>
      </c>
      <c r="F936" s="11">
        <f>ROUND(C12*1936,0)</f>
        <v>20328</v>
      </c>
      <c r="G936" s="35">
        <v>100</v>
      </c>
      <c r="H936" s="17"/>
    </row>
    <row r="937" spans="2:8" s="1" customFormat="1" ht="13.5" customHeight="1" x14ac:dyDescent="0.15">
      <c r="B937" s="33"/>
      <c r="C937" s="7" t="s">
        <v>6</v>
      </c>
      <c r="D937" s="10">
        <v>4</v>
      </c>
      <c r="E937" s="8" t="s">
        <v>7</v>
      </c>
      <c r="F937" s="12">
        <f>ROUND(C12*470,0)</f>
        <v>4935</v>
      </c>
      <c r="G937" s="36"/>
      <c r="H937" s="17"/>
    </row>
    <row r="938" spans="2:8" s="1" customFormat="1" ht="14.25" thickBot="1" x14ac:dyDescent="0.2">
      <c r="B938" s="34"/>
      <c r="C938" s="18" t="s">
        <v>16</v>
      </c>
      <c r="D938" s="19" t="s">
        <v>257</v>
      </c>
      <c r="E938" s="20" t="s">
        <v>17</v>
      </c>
      <c r="F938" s="21" t="s">
        <v>218</v>
      </c>
      <c r="G938" s="22" t="s">
        <v>20</v>
      </c>
      <c r="H938" s="23" t="s">
        <v>37</v>
      </c>
    </row>
    <row r="939" spans="2:8" s="1" customFormat="1" x14ac:dyDescent="0.15">
      <c r="B939" s="13" t="s">
        <v>1</v>
      </c>
      <c r="C939" s="14" t="s">
        <v>0</v>
      </c>
      <c r="D939" s="29" t="s">
        <v>336</v>
      </c>
      <c r="E939" s="30"/>
      <c r="F939" s="31"/>
      <c r="G939" s="15" t="s">
        <v>57</v>
      </c>
      <c r="H939" s="16" t="s">
        <v>337</v>
      </c>
    </row>
    <row r="940" spans="2:8" s="1" customFormat="1" x14ac:dyDescent="0.15">
      <c r="B940" s="32">
        <v>200186</v>
      </c>
      <c r="C940" s="2" t="s">
        <v>2</v>
      </c>
      <c r="D940" s="9">
        <f>ROUND(C12*880,0)</f>
        <v>9240</v>
      </c>
      <c r="E940" s="3" t="s">
        <v>3</v>
      </c>
      <c r="F940" s="11">
        <f>ROUND(C12*476,0)</f>
        <v>4998</v>
      </c>
      <c r="G940" s="4" t="s">
        <v>8</v>
      </c>
      <c r="H940" s="17" t="s">
        <v>140</v>
      </c>
    </row>
    <row r="941" spans="2:8" s="1" customFormat="1" ht="13.5" customHeight="1" x14ac:dyDescent="0.15">
      <c r="B941" s="33"/>
      <c r="C941" s="5" t="s">
        <v>4</v>
      </c>
      <c r="D941" s="9">
        <f>ROUND(C12*680,0)</f>
        <v>7140</v>
      </c>
      <c r="E941" s="6" t="s">
        <v>5</v>
      </c>
      <c r="F941" s="11">
        <f>ROUND(C12*880,0)</f>
        <v>9240</v>
      </c>
      <c r="G941" s="35">
        <v>50</v>
      </c>
      <c r="H941" s="17"/>
    </row>
    <row r="942" spans="2:8" s="1" customFormat="1" ht="13.5" customHeight="1" x14ac:dyDescent="0.15">
      <c r="B942" s="33"/>
      <c r="C942" s="7" t="s">
        <v>6</v>
      </c>
      <c r="D942" s="10">
        <v>7</v>
      </c>
      <c r="E942" s="8" t="s">
        <v>7</v>
      </c>
      <c r="F942" s="12">
        <f>ROUND(C12*430,0)</f>
        <v>4515</v>
      </c>
      <c r="G942" s="36"/>
      <c r="H942" s="17"/>
    </row>
    <row r="943" spans="2:8" s="1" customFormat="1" ht="14.25" thickBot="1" x14ac:dyDescent="0.2">
      <c r="B943" s="34"/>
      <c r="C943" s="18" t="s">
        <v>16</v>
      </c>
      <c r="D943" s="19" t="s">
        <v>294</v>
      </c>
      <c r="E943" s="20" t="s">
        <v>17</v>
      </c>
      <c r="F943" s="21" t="s">
        <v>113</v>
      </c>
      <c r="G943" s="22" t="s">
        <v>20</v>
      </c>
      <c r="H943" s="23" t="s">
        <v>278</v>
      </c>
    </row>
    <row r="944" spans="2:8" s="1" customFormat="1" x14ac:dyDescent="0.15">
      <c r="B944" s="13" t="s">
        <v>1</v>
      </c>
      <c r="C944" s="14" t="s">
        <v>0</v>
      </c>
      <c r="D944" s="29" t="s">
        <v>338</v>
      </c>
      <c r="E944" s="30"/>
      <c r="F944" s="31"/>
      <c r="G944" s="15" t="s">
        <v>57</v>
      </c>
      <c r="H944" s="16" t="s">
        <v>116</v>
      </c>
    </row>
    <row r="945" spans="2:8" s="1" customFormat="1" x14ac:dyDescent="0.15">
      <c r="B945" s="32">
        <v>200187</v>
      </c>
      <c r="C945" s="2" t="s">
        <v>2</v>
      </c>
      <c r="D945" s="9">
        <f>ROUND(C12*880,0)</f>
        <v>9240</v>
      </c>
      <c r="E945" s="3" t="s">
        <v>3</v>
      </c>
      <c r="F945" s="11">
        <f>ROUND(C12*476,0)</f>
        <v>4998</v>
      </c>
      <c r="G945" s="4" t="s">
        <v>8</v>
      </c>
      <c r="H945" s="17" t="s">
        <v>117</v>
      </c>
    </row>
    <row r="946" spans="2:8" s="1" customFormat="1" ht="13.5" customHeight="1" x14ac:dyDescent="0.15">
      <c r="B946" s="33"/>
      <c r="C946" s="5" t="s">
        <v>4</v>
      </c>
      <c r="D946" s="9">
        <f>ROUND(C12*680,0)</f>
        <v>7140</v>
      </c>
      <c r="E946" s="6" t="s">
        <v>5</v>
      </c>
      <c r="F946" s="11">
        <f>ROUND(C12*880,0)</f>
        <v>9240</v>
      </c>
      <c r="G946" s="35">
        <v>100</v>
      </c>
      <c r="H946" s="17"/>
    </row>
    <row r="947" spans="2:8" s="1" customFormat="1" ht="13.5" customHeight="1" x14ac:dyDescent="0.15">
      <c r="B947" s="33"/>
      <c r="C947" s="7" t="s">
        <v>6</v>
      </c>
      <c r="D947" s="10">
        <v>7</v>
      </c>
      <c r="E947" s="8" t="s">
        <v>7</v>
      </c>
      <c r="F947" s="12">
        <f>ROUND(C12*450,0)</f>
        <v>4725</v>
      </c>
      <c r="G947" s="36"/>
      <c r="H947" s="17"/>
    </row>
    <row r="948" spans="2:8" s="1" customFormat="1" ht="14.25" thickBot="1" x14ac:dyDescent="0.2">
      <c r="B948" s="34"/>
      <c r="C948" s="18" t="s">
        <v>16</v>
      </c>
      <c r="D948" s="19" t="s">
        <v>32</v>
      </c>
      <c r="E948" s="20" t="s">
        <v>17</v>
      </c>
      <c r="F948" s="21" t="s">
        <v>33</v>
      </c>
      <c r="G948" s="22" t="s">
        <v>20</v>
      </c>
      <c r="H948" s="23" t="s">
        <v>37</v>
      </c>
    </row>
    <row r="949" spans="2:8" s="1" customFormat="1" x14ac:dyDescent="0.15">
      <c r="B949" s="13" t="s">
        <v>1</v>
      </c>
      <c r="C949" s="14" t="s">
        <v>0</v>
      </c>
      <c r="D949" s="29" t="s">
        <v>339</v>
      </c>
      <c r="E949" s="30"/>
      <c r="F949" s="31"/>
      <c r="G949" s="15" t="s">
        <v>57</v>
      </c>
      <c r="H949" s="16" t="s">
        <v>131</v>
      </c>
    </row>
    <row r="950" spans="2:8" s="1" customFormat="1" x14ac:dyDescent="0.15">
      <c r="B950" s="32">
        <v>200188</v>
      </c>
      <c r="C950" s="2" t="s">
        <v>2</v>
      </c>
      <c r="D950" s="9">
        <f>ROUND(C12*880,0)</f>
        <v>9240</v>
      </c>
      <c r="E950" s="3" t="s">
        <v>3</v>
      </c>
      <c r="F950" s="11">
        <f>ROUND(C12*980,0)</f>
        <v>10290</v>
      </c>
      <c r="G950" s="4" t="s">
        <v>8</v>
      </c>
      <c r="H950" s="17" t="s">
        <v>132</v>
      </c>
    </row>
    <row r="951" spans="2:8" s="1" customFormat="1" ht="13.5" customHeight="1" x14ac:dyDescent="0.15">
      <c r="B951" s="33"/>
      <c r="C951" s="5" t="s">
        <v>4</v>
      </c>
      <c r="D951" s="9">
        <f>ROUND(C12*680,0)</f>
        <v>7140</v>
      </c>
      <c r="E951" s="6" t="s">
        <v>5</v>
      </c>
      <c r="F951" s="11">
        <f>ROUND(C12*1936,0)</f>
        <v>20328</v>
      </c>
      <c r="G951" s="35">
        <v>100</v>
      </c>
      <c r="H951" s="17"/>
    </row>
    <row r="952" spans="2:8" s="1" customFormat="1" ht="13.5" customHeight="1" x14ac:dyDescent="0.15">
      <c r="B952" s="33"/>
      <c r="C952" s="7" t="s">
        <v>6</v>
      </c>
      <c r="D952" s="10">
        <v>4</v>
      </c>
      <c r="E952" s="8" t="s">
        <v>7</v>
      </c>
      <c r="F952" s="12">
        <f>ROUND(C12*410,0)</f>
        <v>4305</v>
      </c>
      <c r="G952" s="36"/>
      <c r="H952" s="17"/>
    </row>
    <row r="953" spans="2:8" s="1" customFormat="1" ht="14.25" thickBot="1" x14ac:dyDescent="0.2">
      <c r="B953" s="34"/>
      <c r="C953" s="18" t="s">
        <v>16</v>
      </c>
      <c r="D953" s="19" t="s">
        <v>32</v>
      </c>
      <c r="E953" s="20" t="s">
        <v>17</v>
      </c>
      <c r="F953" s="21" t="s">
        <v>293</v>
      </c>
      <c r="G953" s="22" t="s">
        <v>20</v>
      </c>
      <c r="H953" s="23" t="s">
        <v>37</v>
      </c>
    </row>
    <row r="954" spans="2:8" s="1" customFormat="1" x14ac:dyDescent="0.15">
      <c r="B954" s="13" t="s">
        <v>1</v>
      </c>
      <c r="C954" s="14" t="s">
        <v>0</v>
      </c>
      <c r="D954" s="29" t="s">
        <v>340</v>
      </c>
      <c r="E954" s="30"/>
      <c r="F954" s="31"/>
      <c r="G954" s="15" t="s">
        <v>57</v>
      </c>
      <c r="H954" s="16" t="s">
        <v>341</v>
      </c>
    </row>
    <row r="955" spans="2:8" s="1" customFormat="1" x14ac:dyDescent="0.15">
      <c r="B955" s="32">
        <v>200189</v>
      </c>
      <c r="C955" s="2" t="s">
        <v>2</v>
      </c>
      <c r="D955" s="9">
        <f>ROUND(C12*880,0)</f>
        <v>9240</v>
      </c>
      <c r="E955" s="3" t="s">
        <v>3</v>
      </c>
      <c r="F955" s="11">
        <f>ROUND(C12*476,0)</f>
        <v>4998</v>
      </c>
      <c r="G955" s="4" t="s">
        <v>8</v>
      </c>
      <c r="H955" s="17" t="s">
        <v>144</v>
      </c>
    </row>
    <row r="956" spans="2:8" s="1" customFormat="1" ht="13.5" customHeight="1" x14ac:dyDescent="0.15">
      <c r="B956" s="33"/>
      <c r="C956" s="5" t="s">
        <v>4</v>
      </c>
      <c r="D956" s="9">
        <f>ROUND(C12*680,0)</f>
        <v>7140</v>
      </c>
      <c r="E956" s="6" t="s">
        <v>5</v>
      </c>
      <c r="F956" s="11">
        <f>ROUND(C12*880,0)</f>
        <v>9240</v>
      </c>
      <c r="G956" s="35">
        <v>50</v>
      </c>
      <c r="H956" s="17"/>
    </row>
    <row r="957" spans="2:8" s="1" customFormat="1" ht="13.5" customHeight="1" x14ac:dyDescent="0.15">
      <c r="B957" s="33"/>
      <c r="C957" s="7" t="s">
        <v>6</v>
      </c>
      <c r="D957" s="10">
        <v>7</v>
      </c>
      <c r="E957" s="8" t="s">
        <v>7</v>
      </c>
      <c r="F957" s="12">
        <f>ROUND(C12*500,0)</f>
        <v>5250</v>
      </c>
      <c r="G957" s="36"/>
      <c r="H957" s="17"/>
    </row>
    <row r="958" spans="2:8" s="1" customFormat="1" ht="14.25" thickBot="1" x14ac:dyDescent="0.2">
      <c r="B958" s="34"/>
      <c r="C958" s="18" t="s">
        <v>16</v>
      </c>
      <c r="D958" s="19" t="s">
        <v>56</v>
      </c>
      <c r="E958" s="20" t="s">
        <v>17</v>
      </c>
      <c r="F958" s="21" t="s">
        <v>93</v>
      </c>
      <c r="G958" s="22" t="s">
        <v>20</v>
      </c>
      <c r="H958" s="23" t="s">
        <v>125</v>
      </c>
    </row>
    <row r="959" spans="2:8" s="1" customFormat="1" x14ac:dyDescent="0.15">
      <c r="B959" s="13" t="s">
        <v>1</v>
      </c>
      <c r="C959" s="14" t="s">
        <v>0</v>
      </c>
      <c r="D959" s="29" t="s">
        <v>342</v>
      </c>
      <c r="E959" s="30"/>
      <c r="F959" s="31"/>
      <c r="G959" s="15" t="s">
        <v>57</v>
      </c>
      <c r="H959" s="16" t="s">
        <v>163</v>
      </c>
    </row>
    <row r="960" spans="2:8" s="1" customFormat="1" x14ac:dyDescent="0.15">
      <c r="B960" s="32">
        <v>200190</v>
      </c>
      <c r="C960" s="2" t="s">
        <v>2</v>
      </c>
      <c r="D960" s="9">
        <f>ROUND(C12*880,0)</f>
        <v>9240</v>
      </c>
      <c r="E960" s="3" t="s">
        <v>3</v>
      </c>
      <c r="F960" s="11">
        <f>ROUND(C12*476,0)</f>
        <v>4998</v>
      </c>
      <c r="G960" s="4" t="s">
        <v>8</v>
      </c>
      <c r="H960" s="17" t="s">
        <v>164</v>
      </c>
    </row>
    <row r="961" spans="2:8" s="1" customFormat="1" ht="13.5" customHeight="1" x14ac:dyDescent="0.15">
      <c r="B961" s="33"/>
      <c r="C961" s="5" t="s">
        <v>4</v>
      </c>
      <c r="D961" s="9">
        <f>ROUND(C12*680,0)</f>
        <v>7140</v>
      </c>
      <c r="E961" s="6" t="s">
        <v>5</v>
      </c>
      <c r="F961" s="11">
        <f>ROUND(C12*880,0)</f>
        <v>9240</v>
      </c>
      <c r="G961" s="35">
        <v>50</v>
      </c>
      <c r="H961" s="17"/>
    </row>
    <row r="962" spans="2:8" s="1" customFormat="1" ht="13.5" customHeight="1" x14ac:dyDescent="0.15">
      <c r="B962" s="33"/>
      <c r="C962" s="7" t="s">
        <v>6</v>
      </c>
      <c r="D962" s="10">
        <v>7</v>
      </c>
      <c r="E962" s="8" t="s">
        <v>7</v>
      </c>
      <c r="F962" s="12">
        <f>ROUND(C12*400,0)</f>
        <v>4200</v>
      </c>
      <c r="G962" s="36"/>
      <c r="H962" s="17"/>
    </row>
    <row r="963" spans="2:8" s="1" customFormat="1" ht="14.25" thickBot="1" x14ac:dyDescent="0.2">
      <c r="B963" s="34"/>
      <c r="C963" s="18" t="s">
        <v>16</v>
      </c>
      <c r="D963" s="19" t="s">
        <v>82</v>
      </c>
      <c r="E963" s="20" t="s">
        <v>17</v>
      </c>
      <c r="F963" s="21" t="s">
        <v>45</v>
      </c>
      <c r="G963" s="22" t="s">
        <v>20</v>
      </c>
      <c r="H963" s="23" t="s">
        <v>136</v>
      </c>
    </row>
    <row r="964" spans="2:8" s="1" customFormat="1" x14ac:dyDescent="0.15">
      <c r="B964" s="13" t="s">
        <v>1</v>
      </c>
      <c r="C964" s="14" t="s">
        <v>0</v>
      </c>
      <c r="D964" s="29" t="s">
        <v>343</v>
      </c>
      <c r="E964" s="30"/>
      <c r="F964" s="31"/>
      <c r="G964" s="15" t="s">
        <v>57</v>
      </c>
      <c r="H964" s="16" t="s">
        <v>55</v>
      </c>
    </row>
    <row r="965" spans="2:8" s="1" customFormat="1" x14ac:dyDescent="0.15">
      <c r="B965" s="32">
        <v>200191</v>
      </c>
      <c r="C965" s="2" t="s">
        <v>2</v>
      </c>
      <c r="D965" s="9">
        <f>ROUND(C12*880,0)</f>
        <v>9240</v>
      </c>
      <c r="E965" s="3" t="s">
        <v>3</v>
      </c>
      <c r="F965" s="11">
        <f>ROUND(C12*476,0)</f>
        <v>4998</v>
      </c>
      <c r="G965" s="4" t="s">
        <v>8</v>
      </c>
      <c r="H965" s="17" t="s">
        <v>30</v>
      </c>
    </row>
    <row r="966" spans="2:8" s="1" customFormat="1" ht="13.5" customHeight="1" x14ac:dyDescent="0.15">
      <c r="B966" s="33"/>
      <c r="C966" s="5" t="s">
        <v>4</v>
      </c>
      <c r="D966" s="9">
        <f>ROUND(C12*680,0)</f>
        <v>7140</v>
      </c>
      <c r="E966" s="6" t="s">
        <v>5</v>
      </c>
      <c r="F966" s="11">
        <f>ROUND(C12*880,0)</f>
        <v>9240</v>
      </c>
      <c r="G966" s="35">
        <v>100</v>
      </c>
      <c r="H966" s="17"/>
    </row>
    <row r="967" spans="2:8" s="1" customFormat="1" ht="13.5" customHeight="1" x14ac:dyDescent="0.15">
      <c r="B967" s="33"/>
      <c r="C967" s="7" t="s">
        <v>6</v>
      </c>
      <c r="D967" s="10">
        <v>7</v>
      </c>
      <c r="E967" s="8" t="s">
        <v>7</v>
      </c>
      <c r="F967" s="12">
        <f>ROUND(C12*470,0)</f>
        <v>4935</v>
      </c>
      <c r="G967" s="36"/>
      <c r="H967" s="17"/>
    </row>
    <row r="968" spans="2:8" s="1" customFormat="1" ht="14.25" thickBot="1" x14ac:dyDescent="0.2">
      <c r="B968" s="34"/>
      <c r="C968" s="18" t="s">
        <v>16</v>
      </c>
      <c r="D968" s="19" t="s">
        <v>397</v>
      </c>
      <c r="E968" s="20" t="s">
        <v>17</v>
      </c>
      <c r="F968" s="21" t="s">
        <v>52</v>
      </c>
      <c r="G968" s="22" t="s">
        <v>20</v>
      </c>
      <c r="H968" s="23" t="s">
        <v>37</v>
      </c>
    </row>
    <row r="969" spans="2:8" s="1" customFormat="1" x14ac:dyDescent="0.15">
      <c r="B969" s="13" t="s">
        <v>1</v>
      </c>
      <c r="C969" s="14" t="s">
        <v>0</v>
      </c>
      <c r="D969" s="29" t="s">
        <v>344</v>
      </c>
      <c r="E969" s="30"/>
      <c r="F969" s="31"/>
      <c r="G969" s="15" t="s">
        <v>57</v>
      </c>
      <c r="H969" s="16" t="s">
        <v>35</v>
      </c>
    </row>
    <row r="970" spans="2:8" s="1" customFormat="1" x14ac:dyDescent="0.15">
      <c r="B970" s="32">
        <v>200192</v>
      </c>
      <c r="C970" s="2" t="s">
        <v>2</v>
      </c>
      <c r="D970" s="9">
        <f>ROUND(C12*880,0)</f>
        <v>9240</v>
      </c>
      <c r="E970" s="3" t="s">
        <v>3</v>
      </c>
      <c r="F970" s="11">
        <f>ROUND(C12*980,0)</f>
        <v>10290</v>
      </c>
      <c r="G970" s="4" t="s">
        <v>8</v>
      </c>
      <c r="H970" s="17" t="s">
        <v>23</v>
      </c>
    </row>
    <row r="971" spans="2:8" s="1" customFormat="1" ht="13.5" customHeight="1" x14ac:dyDescent="0.15">
      <c r="B971" s="33"/>
      <c r="C971" s="5" t="s">
        <v>4</v>
      </c>
      <c r="D971" s="9">
        <f>ROUND(C12*680,0)</f>
        <v>7140</v>
      </c>
      <c r="E971" s="6" t="s">
        <v>5</v>
      </c>
      <c r="F971" s="11">
        <f>ROUND(C12*1936,0)</f>
        <v>20328</v>
      </c>
      <c r="G971" s="35">
        <v>100</v>
      </c>
      <c r="H971" s="17"/>
    </row>
    <row r="972" spans="2:8" s="1" customFormat="1" ht="13.5" customHeight="1" x14ac:dyDescent="0.15">
      <c r="B972" s="33"/>
      <c r="C972" s="7" t="s">
        <v>6</v>
      </c>
      <c r="D972" s="10">
        <v>4</v>
      </c>
      <c r="E972" s="8" t="s">
        <v>7</v>
      </c>
      <c r="F972" s="12">
        <f>ROUND(C12*430,0)</f>
        <v>4515</v>
      </c>
      <c r="G972" s="36"/>
      <c r="H972" s="17"/>
    </row>
    <row r="973" spans="2:8" s="1" customFormat="1" ht="14.25" thickBot="1" x14ac:dyDescent="0.2">
      <c r="B973" s="34"/>
      <c r="C973" s="18" t="s">
        <v>16</v>
      </c>
      <c r="D973" s="19" t="s">
        <v>430</v>
      </c>
      <c r="E973" s="20" t="s">
        <v>17</v>
      </c>
      <c r="F973" s="21" t="s">
        <v>294</v>
      </c>
      <c r="G973" s="22" t="s">
        <v>20</v>
      </c>
      <c r="H973" s="23" t="s">
        <v>37</v>
      </c>
    </row>
    <row r="974" spans="2:8" s="1" customFormat="1" x14ac:dyDescent="0.15">
      <c r="B974" s="13" t="s">
        <v>1</v>
      </c>
      <c r="C974" s="14" t="s">
        <v>0</v>
      </c>
      <c r="D974" s="29" t="s">
        <v>345</v>
      </c>
      <c r="E974" s="30"/>
      <c r="F974" s="31"/>
      <c r="G974" s="15" t="s">
        <v>57</v>
      </c>
      <c r="H974" s="16" t="s">
        <v>128</v>
      </c>
    </row>
    <row r="975" spans="2:8" s="1" customFormat="1" x14ac:dyDescent="0.15">
      <c r="B975" s="32">
        <v>200193</v>
      </c>
      <c r="C975" s="2" t="s">
        <v>2</v>
      </c>
      <c r="D975" s="9">
        <f>ROUND(C12*880,0)</f>
        <v>9240</v>
      </c>
      <c r="E975" s="3" t="s">
        <v>3</v>
      </c>
      <c r="F975" s="11">
        <f>ROUND(C12*476,0)</f>
        <v>4998</v>
      </c>
      <c r="G975" s="4" t="s">
        <v>8</v>
      </c>
      <c r="H975" s="17" t="s">
        <v>129</v>
      </c>
    </row>
    <row r="976" spans="2:8" s="1" customFormat="1" ht="13.5" customHeight="1" x14ac:dyDescent="0.15">
      <c r="B976" s="33"/>
      <c r="C976" s="5" t="s">
        <v>4</v>
      </c>
      <c r="D976" s="9">
        <f>ROUND(C12*680,0)</f>
        <v>7140</v>
      </c>
      <c r="E976" s="6" t="s">
        <v>5</v>
      </c>
      <c r="F976" s="11">
        <f>ROUND(C12*880,0)</f>
        <v>9240</v>
      </c>
      <c r="G976" s="35">
        <v>100</v>
      </c>
      <c r="H976" s="17"/>
    </row>
    <row r="977" spans="2:8" s="1" customFormat="1" ht="13.5" customHeight="1" x14ac:dyDescent="0.15">
      <c r="B977" s="33"/>
      <c r="C977" s="7" t="s">
        <v>6</v>
      </c>
      <c r="D977" s="10">
        <v>7</v>
      </c>
      <c r="E977" s="8" t="s">
        <v>7</v>
      </c>
      <c r="F977" s="12">
        <f>ROUND(C12*520,0)</f>
        <v>5460</v>
      </c>
      <c r="G977" s="36"/>
      <c r="H977" s="17"/>
    </row>
    <row r="978" spans="2:8" s="1" customFormat="1" ht="14.25" thickBot="1" x14ac:dyDescent="0.2">
      <c r="B978" s="34"/>
      <c r="C978" s="18" t="s">
        <v>16</v>
      </c>
      <c r="D978" s="19" t="s">
        <v>397</v>
      </c>
      <c r="E978" s="20" t="s">
        <v>17</v>
      </c>
      <c r="F978" s="21" t="s">
        <v>85</v>
      </c>
      <c r="G978" s="22" t="s">
        <v>20</v>
      </c>
      <c r="H978" s="23" t="s">
        <v>37</v>
      </c>
    </row>
    <row r="979" spans="2:8" s="1" customFormat="1" x14ac:dyDescent="0.15">
      <c r="B979" s="13" t="s">
        <v>1</v>
      </c>
      <c r="C979" s="14" t="s">
        <v>0</v>
      </c>
      <c r="D979" s="29" t="s">
        <v>346</v>
      </c>
      <c r="E979" s="30"/>
      <c r="F979" s="31"/>
      <c r="G979" s="15" t="s">
        <v>57</v>
      </c>
      <c r="H979" s="16" t="s">
        <v>77</v>
      </c>
    </row>
    <row r="980" spans="2:8" s="1" customFormat="1" x14ac:dyDescent="0.15">
      <c r="B980" s="32">
        <v>200194</v>
      </c>
      <c r="C980" s="2" t="s">
        <v>2</v>
      </c>
      <c r="D980" s="9">
        <f>ROUND(C12*880,0)</f>
        <v>9240</v>
      </c>
      <c r="E980" s="3" t="s">
        <v>3</v>
      </c>
      <c r="F980" s="11">
        <f>ROUND(C12*980,0)</f>
        <v>10290</v>
      </c>
      <c r="G980" s="4" t="s">
        <v>8</v>
      </c>
      <c r="H980" s="17" t="s">
        <v>78</v>
      </c>
    </row>
    <row r="981" spans="2:8" s="1" customFormat="1" ht="13.5" customHeight="1" x14ac:dyDescent="0.15">
      <c r="B981" s="33"/>
      <c r="C981" s="5" t="s">
        <v>4</v>
      </c>
      <c r="D981" s="9">
        <f>ROUND(C12*680,0)</f>
        <v>7140</v>
      </c>
      <c r="E981" s="6" t="s">
        <v>5</v>
      </c>
      <c r="F981" s="11">
        <f>ROUND(C12*1936,0)</f>
        <v>20328</v>
      </c>
      <c r="G981" s="35">
        <v>100</v>
      </c>
      <c r="H981" s="17"/>
    </row>
    <row r="982" spans="2:8" s="1" customFormat="1" ht="13.5" customHeight="1" x14ac:dyDescent="0.15">
      <c r="B982" s="33"/>
      <c r="C982" s="7" t="s">
        <v>6</v>
      </c>
      <c r="D982" s="10">
        <v>4</v>
      </c>
      <c r="E982" s="8" t="s">
        <v>7</v>
      </c>
      <c r="F982" s="12">
        <f>ROUND(C12*450,0)</f>
        <v>4725</v>
      </c>
      <c r="G982" s="36"/>
      <c r="H982" s="17"/>
    </row>
    <row r="983" spans="2:8" s="1" customFormat="1" ht="14.25" thickBot="1" x14ac:dyDescent="0.2">
      <c r="B983" s="34"/>
      <c r="C983" s="18" t="s">
        <v>16</v>
      </c>
      <c r="D983" s="19" t="s">
        <v>48</v>
      </c>
      <c r="E983" s="20" t="s">
        <v>17</v>
      </c>
      <c r="F983" s="21" t="s">
        <v>293</v>
      </c>
      <c r="G983" s="22" t="s">
        <v>20</v>
      </c>
      <c r="H983" s="23" t="s">
        <v>37</v>
      </c>
    </row>
    <row r="984" spans="2:8" s="1" customFormat="1" x14ac:dyDescent="0.15">
      <c r="B984" s="13" t="s">
        <v>1</v>
      </c>
      <c r="C984" s="14" t="s">
        <v>0</v>
      </c>
      <c r="D984" s="29" t="s">
        <v>347</v>
      </c>
      <c r="E984" s="30"/>
      <c r="F984" s="31"/>
      <c r="G984" s="15" t="s">
        <v>57</v>
      </c>
      <c r="H984" s="16" t="s">
        <v>108</v>
      </c>
    </row>
    <row r="985" spans="2:8" s="1" customFormat="1" x14ac:dyDescent="0.15">
      <c r="B985" s="32">
        <v>200195</v>
      </c>
      <c r="C985" s="2" t="s">
        <v>2</v>
      </c>
      <c r="D985" s="9">
        <f>ROUND(C12*880,0)</f>
        <v>9240</v>
      </c>
      <c r="E985" s="3" t="s">
        <v>3</v>
      </c>
      <c r="F985" s="11">
        <f>ROUND(C12*476,0)</f>
        <v>4998</v>
      </c>
      <c r="G985" s="4" t="s">
        <v>8</v>
      </c>
      <c r="H985" s="17" t="s">
        <v>109</v>
      </c>
    </row>
    <row r="986" spans="2:8" s="1" customFormat="1" ht="13.5" customHeight="1" x14ac:dyDescent="0.15">
      <c r="B986" s="33"/>
      <c r="C986" s="5" t="s">
        <v>4</v>
      </c>
      <c r="D986" s="9">
        <f>ROUND(C12*680,0)</f>
        <v>7140</v>
      </c>
      <c r="E986" s="6" t="s">
        <v>5</v>
      </c>
      <c r="F986" s="11">
        <f>ROUND(C12*880,0)</f>
        <v>9240</v>
      </c>
      <c r="G986" s="35">
        <v>100</v>
      </c>
      <c r="H986" s="17"/>
    </row>
    <row r="987" spans="2:8" s="1" customFormat="1" ht="13.5" customHeight="1" x14ac:dyDescent="0.15">
      <c r="B987" s="33"/>
      <c r="C987" s="7" t="s">
        <v>6</v>
      </c>
      <c r="D987" s="10">
        <v>7</v>
      </c>
      <c r="E987" s="8" t="s">
        <v>7</v>
      </c>
      <c r="F987" s="12">
        <f>ROUND(C12*410,0)</f>
        <v>4305</v>
      </c>
      <c r="G987" s="36"/>
      <c r="H987" s="17"/>
    </row>
    <row r="988" spans="2:8" s="1" customFormat="1" ht="14.25" thickBot="1" x14ac:dyDescent="0.2">
      <c r="B988" s="34"/>
      <c r="C988" s="18" t="s">
        <v>16</v>
      </c>
      <c r="D988" s="19" t="s">
        <v>45</v>
      </c>
      <c r="E988" s="20" t="s">
        <v>17</v>
      </c>
      <c r="F988" s="21" t="s">
        <v>36</v>
      </c>
      <c r="G988" s="22" t="s">
        <v>20</v>
      </c>
      <c r="H988" s="23" t="s">
        <v>37</v>
      </c>
    </row>
    <row r="989" spans="2:8" s="1" customFormat="1" x14ac:dyDescent="0.15">
      <c r="B989" s="13" t="s">
        <v>1</v>
      </c>
      <c r="C989" s="14" t="s">
        <v>0</v>
      </c>
      <c r="D989" s="29" t="s">
        <v>348</v>
      </c>
      <c r="E989" s="30"/>
      <c r="F989" s="31"/>
      <c r="G989" s="15" t="s">
        <v>57</v>
      </c>
      <c r="H989" s="16" t="s">
        <v>139</v>
      </c>
    </row>
    <row r="990" spans="2:8" s="1" customFormat="1" x14ac:dyDescent="0.15">
      <c r="B990" s="32">
        <v>200196</v>
      </c>
      <c r="C990" s="2" t="s">
        <v>2</v>
      </c>
      <c r="D990" s="9">
        <f>ROUND(C12*880,0)</f>
        <v>9240</v>
      </c>
      <c r="E990" s="3" t="s">
        <v>3</v>
      </c>
      <c r="F990" s="11">
        <f>ROUND(C12*476,0)</f>
        <v>4998</v>
      </c>
      <c r="G990" s="4" t="s">
        <v>8</v>
      </c>
      <c r="H990" s="17" t="s">
        <v>140</v>
      </c>
    </row>
    <row r="991" spans="2:8" s="1" customFormat="1" ht="13.5" customHeight="1" x14ac:dyDescent="0.15">
      <c r="B991" s="33"/>
      <c r="C991" s="5" t="s">
        <v>4</v>
      </c>
      <c r="D991" s="9">
        <f>ROUND(C12*680,0)</f>
        <v>7140</v>
      </c>
      <c r="E991" s="6" t="s">
        <v>5</v>
      </c>
      <c r="F991" s="11">
        <f>ROUND(C12*880,0)</f>
        <v>9240</v>
      </c>
      <c r="G991" s="35">
        <v>50</v>
      </c>
      <c r="H991" s="17"/>
    </row>
    <row r="992" spans="2:8" s="1" customFormat="1" ht="13.5" customHeight="1" x14ac:dyDescent="0.15">
      <c r="B992" s="33"/>
      <c r="C992" s="7" t="s">
        <v>6</v>
      </c>
      <c r="D992" s="10">
        <v>7</v>
      </c>
      <c r="E992" s="8" t="s">
        <v>7</v>
      </c>
      <c r="F992" s="12">
        <f>ROUND(C12*430,0)</f>
        <v>4515</v>
      </c>
      <c r="G992" s="36"/>
      <c r="H992" s="17"/>
    </row>
    <row r="993" spans="2:8" s="1" customFormat="1" ht="14.25" thickBot="1" x14ac:dyDescent="0.2">
      <c r="B993" s="34"/>
      <c r="C993" s="18" t="s">
        <v>16</v>
      </c>
      <c r="D993" s="19" t="s">
        <v>33</v>
      </c>
      <c r="E993" s="20" t="s">
        <v>17</v>
      </c>
      <c r="F993" s="21" t="s">
        <v>36</v>
      </c>
      <c r="G993" s="22" t="s">
        <v>20</v>
      </c>
      <c r="H993" s="23" t="s">
        <v>349</v>
      </c>
    </row>
    <row r="994" spans="2:8" s="1" customFormat="1" x14ac:dyDescent="0.15">
      <c r="B994" s="13" t="s">
        <v>1</v>
      </c>
      <c r="C994" s="14" t="s">
        <v>0</v>
      </c>
      <c r="D994" s="29" t="s">
        <v>350</v>
      </c>
      <c r="E994" s="30"/>
      <c r="F994" s="31"/>
      <c r="G994" s="15" t="s">
        <v>57</v>
      </c>
      <c r="H994" s="16" t="s">
        <v>91</v>
      </c>
    </row>
    <row r="995" spans="2:8" s="1" customFormat="1" x14ac:dyDescent="0.15">
      <c r="B995" s="32">
        <v>200197</v>
      </c>
      <c r="C995" s="2" t="s">
        <v>2</v>
      </c>
      <c r="D995" s="9">
        <f>ROUND(C12*880,0)</f>
        <v>9240</v>
      </c>
      <c r="E995" s="3" t="s">
        <v>3</v>
      </c>
      <c r="F995" s="11">
        <f>ROUND(C12*476,0)</f>
        <v>4998</v>
      </c>
      <c r="G995" s="4" t="s">
        <v>8</v>
      </c>
      <c r="H995" s="17" t="s">
        <v>92</v>
      </c>
    </row>
    <row r="996" spans="2:8" s="1" customFormat="1" ht="13.5" customHeight="1" x14ac:dyDescent="0.15">
      <c r="B996" s="33"/>
      <c r="C996" s="5" t="s">
        <v>4</v>
      </c>
      <c r="D996" s="9">
        <f>ROUND(C12*680,0)</f>
        <v>7140</v>
      </c>
      <c r="E996" s="6" t="s">
        <v>5</v>
      </c>
      <c r="F996" s="11">
        <f>ROUND(C12*880,0)</f>
        <v>9240</v>
      </c>
      <c r="G996" s="35">
        <v>100</v>
      </c>
      <c r="H996" s="17"/>
    </row>
    <row r="997" spans="2:8" s="1" customFormat="1" ht="13.5" customHeight="1" x14ac:dyDescent="0.15">
      <c r="B997" s="33"/>
      <c r="C997" s="7" t="s">
        <v>6</v>
      </c>
      <c r="D997" s="10">
        <v>7</v>
      </c>
      <c r="E997" s="8" t="s">
        <v>7</v>
      </c>
      <c r="F997" s="12">
        <f>ROUND(C12*420,0)</f>
        <v>4410</v>
      </c>
      <c r="G997" s="36"/>
      <c r="H997" s="17"/>
    </row>
    <row r="998" spans="2:8" s="1" customFormat="1" ht="14.25" thickBot="1" x14ac:dyDescent="0.2">
      <c r="B998" s="34"/>
      <c r="C998" s="18" t="s">
        <v>16</v>
      </c>
      <c r="D998" s="19" t="s">
        <v>392</v>
      </c>
      <c r="E998" s="20" t="s">
        <v>17</v>
      </c>
      <c r="F998" s="21" t="s">
        <v>32</v>
      </c>
      <c r="G998" s="22" t="s">
        <v>20</v>
      </c>
      <c r="H998" s="23" t="s">
        <v>37</v>
      </c>
    </row>
    <row r="999" spans="2:8" s="1" customFormat="1" x14ac:dyDescent="0.15">
      <c r="B999" s="13" t="s">
        <v>1</v>
      </c>
      <c r="C999" s="14" t="s">
        <v>0</v>
      </c>
      <c r="D999" s="29" t="s">
        <v>351</v>
      </c>
      <c r="E999" s="30"/>
      <c r="F999" s="31"/>
      <c r="G999" s="15" t="s">
        <v>57</v>
      </c>
      <c r="H999" s="16" t="s">
        <v>116</v>
      </c>
    </row>
    <row r="1000" spans="2:8" s="1" customFormat="1" x14ac:dyDescent="0.15">
      <c r="B1000" s="32">
        <v>200198</v>
      </c>
      <c r="C1000" s="2" t="s">
        <v>2</v>
      </c>
      <c r="D1000" s="9">
        <f>ROUND(C12*880,0)</f>
        <v>9240</v>
      </c>
      <c r="E1000" s="3" t="s">
        <v>3</v>
      </c>
      <c r="F1000" s="11">
        <f>ROUND(C12*980,0)</f>
        <v>10290</v>
      </c>
      <c r="G1000" s="4" t="s">
        <v>8</v>
      </c>
      <c r="H1000" s="17" t="s">
        <v>117</v>
      </c>
    </row>
    <row r="1001" spans="2:8" s="1" customFormat="1" ht="13.5" customHeight="1" x14ac:dyDescent="0.15">
      <c r="B1001" s="33"/>
      <c r="C1001" s="5" t="s">
        <v>4</v>
      </c>
      <c r="D1001" s="9">
        <f>ROUND(C12*680,0)</f>
        <v>7140</v>
      </c>
      <c r="E1001" s="6" t="s">
        <v>5</v>
      </c>
      <c r="F1001" s="11">
        <f>ROUND(C12*1936,0)</f>
        <v>20328</v>
      </c>
      <c r="G1001" s="35">
        <v>100</v>
      </c>
      <c r="H1001" s="17"/>
    </row>
    <row r="1002" spans="2:8" s="1" customFormat="1" ht="13.5" customHeight="1" x14ac:dyDescent="0.15">
      <c r="B1002" s="33"/>
      <c r="C1002" s="7" t="s">
        <v>6</v>
      </c>
      <c r="D1002" s="10">
        <v>4</v>
      </c>
      <c r="E1002" s="8" t="s">
        <v>7</v>
      </c>
      <c r="F1002" s="12">
        <f>ROUND(C12*410,0)</f>
        <v>4305</v>
      </c>
      <c r="G1002" s="36"/>
      <c r="H1002" s="17"/>
    </row>
    <row r="1003" spans="2:8" s="1" customFormat="1" ht="14.25" thickBot="1" x14ac:dyDescent="0.2">
      <c r="B1003" s="34"/>
      <c r="C1003" s="18" t="s">
        <v>16</v>
      </c>
      <c r="D1003" s="19" t="s">
        <v>49</v>
      </c>
      <c r="E1003" s="20" t="s">
        <v>17</v>
      </c>
      <c r="F1003" s="21" t="s">
        <v>392</v>
      </c>
      <c r="G1003" s="22" t="s">
        <v>20</v>
      </c>
      <c r="H1003" s="23" t="s">
        <v>37</v>
      </c>
    </row>
    <row r="1004" spans="2:8" s="1" customFormat="1" x14ac:dyDescent="0.15">
      <c r="B1004" s="13" t="s">
        <v>1</v>
      </c>
      <c r="C1004" s="14" t="s">
        <v>0</v>
      </c>
      <c r="D1004" s="29" t="s">
        <v>352</v>
      </c>
      <c r="E1004" s="30"/>
      <c r="F1004" s="31"/>
      <c r="G1004" s="15" t="s">
        <v>57</v>
      </c>
      <c r="H1004" s="16" t="s">
        <v>35</v>
      </c>
    </row>
    <row r="1005" spans="2:8" s="1" customFormat="1" x14ac:dyDescent="0.15">
      <c r="B1005" s="32">
        <v>200199</v>
      </c>
      <c r="C1005" s="2" t="s">
        <v>2</v>
      </c>
      <c r="D1005" s="9">
        <f>ROUND(C12*880,0)</f>
        <v>9240</v>
      </c>
      <c r="E1005" s="3" t="s">
        <v>3</v>
      </c>
      <c r="F1005" s="11">
        <f>ROUND(C12*476,0)</f>
        <v>4998</v>
      </c>
      <c r="G1005" s="4" t="s">
        <v>8</v>
      </c>
      <c r="H1005" s="17" t="s">
        <v>23</v>
      </c>
    </row>
    <row r="1006" spans="2:8" s="1" customFormat="1" ht="13.5" customHeight="1" x14ac:dyDescent="0.15">
      <c r="B1006" s="33"/>
      <c r="C1006" s="5" t="s">
        <v>4</v>
      </c>
      <c r="D1006" s="9">
        <f>ROUND(C12*680,0)</f>
        <v>7140</v>
      </c>
      <c r="E1006" s="6" t="s">
        <v>5</v>
      </c>
      <c r="F1006" s="11">
        <f>ROUND(C12*880,0)</f>
        <v>9240</v>
      </c>
      <c r="G1006" s="35">
        <v>100</v>
      </c>
      <c r="H1006" s="17"/>
    </row>
    <row r="1007" spans="2:8" s="1" customFormat="1" ht="13.5" customHeight="1" x14ac:dyDescent="0.15">
      <c r="B1007" s="33"/>
      <c r="C1007" s="7" t="s">
        <v>6</v>
      </c>
      <c r="D1007" s="10">
        <v>7</v>
      </c>
      <c r="E1007" s="8" t="s">
        <v>7</v>
      </c>
      <c r="F1007" s="12">
        <f>ROUND(C12*500,0)</f>
        <v>5250</v>
      </c>
      <c r="G1007" s="36"/>
      <c r="H1007" s="17"/>
    </row>
    <row r="1008" spans="2:8" s="1" customFormat="1" ht="14.25" thickBot="1" x14ac:dyDescent="0.2">
      <c r="B1008" s="34"/>
      <c r="C1008" s="18" t="s">
        <v>16</v>
      </c>
      <c r="D1008" s="19" t="s">
        <v>49</v>
      </c>
      <c r="E1008" s="20" t="s">
        <v>17</v>
      </c>
      <c r="F1008" s="21" t="s">
        <v>100</v>
      </c>
      <c r="G1008" s="22" t="s">
        <v>20</v>
      </c>
      <c r="H1008" s="23" t="s">
        <v>37</v>
      </c>
    </row>
    <row r="1009" spans="2:8" s="1" customFormat="1" x14ac:dyDescent="0.15">
      <c r="B1009" s="13" t="s">
        <v>1</v>
      </c>
      <c r="C1009" s="14" t="s">
        <v>0</v>
      </c>
      <c r="D1009" s="29" t="s">
        <v>353</v>
      </c>
      <c r="E1009" s="30"/>
      <c r="F1009" s="31"/>
      <c r="G1009" s="15" t="s">
        <v>57</v>
      </c>
      <c r="H1009" s="16" t="s">
        <v>41</v>
      </c>
    </row>
    <row r="1010" spans="2:8" s="1" customFormat="1" x14ac:dyDescent="0.15">
      <c r="B1010" s="32">
        <v>200200</v>
      </c>
      <c r="C1010" s="2" t="s">
        <v>2</v>
      </c>
      <c r="D1010" s="9">
        <f>ROUND(C12*880,0)</f>
        <v>9240</v>
      </c>
      <c r="E1010" s="3" t="s">
        <v>3</v>
      </c>
      <c r="F1010" s="11">
        <f>ROUND(C12*980,0)</f>
        <v>10290</v>
      </c>
      <c r="G1010" s="4" t="s">
        <v>8</v>
      </c>
      <c r="H1010" s="17" t="s">
        <v>25</v>
      </c>
    </row>
    <row r="1011" spans="2:8" s="1" customFormat="1" ht="13.5" customHeight="1" x14ac:dyDescent="0.15">
      <c r="B1011" s="33"/>
      <c r="C1011" s="5" t="s">
        <v>4</v>
      </c>
      <c r="D1011" s="9">
        <f>ROUND(C12*680,0)</f>
        <v>7140</v>
      </c>
      <c r="E1011" s="6" t="s">
        <v>5</v>
      </c>
      <c r="F1011" s="11">
        <f>ROUND(C12*1936,0)</f>
        <v>20328</v>
      </c>
      <c r="G1011" s="35">
        <v>100</v>
      </c>
      <c r="H1011" s="17"/>
    </row>
    <row r="1012" spans="2:8" s="1" customFormat="1" ht="13.5" customHeight="1" x14ac:dyDescent="0.15">
      <c r="B1012" s="33"/>
      <c r="C1012" s="7" t="s">
        <v>6</v>
      </c>
      <c r="D1012" s="10">
        <v>4</v>
      </c>
      <c r="E1012" s="8" t="s">
        <v>7</v>
      </c>
      <c r="F1012" s="12">
        <f>ROUND(C12*380,0)</f>
        <v>3990</v>
      </c>
      <c r="G1012" s="36"/>
      <c r="H1012" s="17"/>
    </row>
    <row r="1013" spans="2:8" s="1" customFormat="1" ht="14.25" thickBot="1" x14ac:dyDescent="0.2">
      <c r="B1013" s="34"/>
      <c r="C1013" s="18" t="s">
        <v>16</v>
      </c>
      <c r="D1013" s="19" t="s">
        <v>45</v>
      </c>
      <c r="E1013" s="20" t="s">
        <v>17</v>
      </c>
      <c r="F1013" s="21" t="s">
        <v>293</v>
      </c>
      <c r="G1013" s="22" t="s">
        <v>20</v>
      </c>
      <c r="H1013" s="23" t="s">
        <v>37</v>
      </c>
    </row>
    <row r="1014" spans="2:8" s="1" customFormat="1" x14ac:dyDescent="0.15">
      <c r="B1014" s="13" t="s">
        <v>1</v>
      </c>
      <c r="C1014" s="14" t="s">
        <v>0</v>
      </c>
      <c r="D1014" s="29" t="s">
        <v>354</v>
      </c>
      <c r="E1014" s="30"/>
      <c r="F1014" s="31"/>
      <c r="G1014" s="15" t="s">
        <v>57</v>
      </c>
      <c r="H1014" s="16" t="s">
        <v>131</v>
      </c>
    </row>
    <row r="1015" spans="2:8" s="1" customFormat="1" x14ac:dyDescent="0.15">
      <c r="B1015" s="32">
        <v>200201</v>
      </c>
      <c r="C1015" s="2" t="s">
        <v>2</v>
      </c>
      <c r="D1015" s="9">
        <f>ROUND(C12*880,0)</f>
        <v>9240</v>
      </c>
      <c r="E1015" s="3" t="s">
        <v>3</v>
      </c>
      <c r="F1015" s="11">
        <f>ROUND(C12*980,0)</f>
        <v>10290</v>
      </c>
      <c r="G1015" s="4" t="s">
        <v>8</v>
      </c>
      <c r="H1015" s="17" t="s">
        <v>132</v>
      </c>
    </row>
    <row r="1016" spans="2:8" s="1" customFormat="1" ht="13.5" customHeight="1" x14ac:dyDescent="0.15">
      <c r="B1016" s="33"/>
      <c r="C1016" s="5" t="s">
        <v>4</v>
      </c>
      <c r="D1016" s="9">
        <f>ROUND(C12*680,0)</f>
        <v>7140</v>
      </c>
      <c r="E1016" s="6" t="s">
        <v>5</v>
      </c>
      <c r="F1016" s="11">
        <f>ROUND(C12*1936,0)</f>
        <v>20328</v>
      </c>
      <c r="G1016" s="35">
        <v>100</v>
      </c>
      <c r="H1016" s="17"/>
    </row>
    <row r="1017" spans="2:8" s="1" customFormat="1" ht="13.5" customHeight="1" x14ac:dyDescent="0.15">
      <c r="B1017" s="33"/>
      <c r="C1017" s="7" t="s">
        <v>6</v>
      </c>
      <c r="D1017" s="10">
        <v>4</v>
      </c>
      <c r="E1017" s="8" t="s">
        <v>7</v>
      </c>
      <c r="F1017" s="12">
        <f>ROUND(C12*380,0)</f>
        <v>3990</v>
      </c>
      <c r="G1017" s="36"/>
      <c r="H1017" s="17"/>
    </row>
    <row r="1018" spans="2:8" s="1" customFormat="1" ht="14.25" thickBot="1" x14ac:dyDescent="0.2">
      <c r="B1018" s="34"/>
      <c r="C1018" s="18" t="s">
        <v>16</v>
      </c>
      <c r="D1018" s="19" t="s">
        <v>294</v>
      </c>
      <c r="E1018" s="20" t="s">
        <v>17</v>
      </c>
      <c r="F1018" s="21" t="s">
        <v>51</v>
      </c>
      <c r="G1018" s="22" t="s">
        <v>20</v>
      </c>
      <c r="H1018" s="23" t="s">
        <v>37</v>
      </c>
    </row>
    <row r="1019" spans="2:8" s="1" customFormat="1" x14ac:dyDescent="0.15">
      <c r="B1019" s="13" t="s">
        <v>1</v>
      </c>
      <c r="C1019" s="14" t="s">
        <v>0</v>
      </c>
      <c r="D1019" s="29" t="s">
        <v>356</v>
      </c>
      <c r="E1019" s="30"/>
      <c r="F1019" s="31"/>
      <c r="G1019" s="15" t="s">
        <v>57</v>
      </c>
      <c r="H1019" s="16" t="s">
        <v>91</v>
      </c>
    </row>
    <row r="1020" spans="2:8" s="1" customFormat="1" x14ac:dyDescent="0.15">
      <c r="B1020" s="32">
        <v>200202</v>
      </c>
      <c r="C1020" s="2" t="s">
        <v>2</v>
      </c>
      <c r="D1020" s="9">
        <f>ROUND(C12*880,0)</f>
        <v>9240</v>
      </c>
      <c r="E1020" s="3" t="s">
        <v>3</v>
      </c>
      <c r="F1020" s="11">
        <f>ROUND(C12*980,0)</f>
        <v>10290</v>
      </c>
      <c r="G1020" s="4" t="s">
        <v>8</v>
      </c>
      <c r="H1020" s="17" t="s">
        <v>92</v>
      </c>
    </row>
    <row r="1021" spans="2:8" s="1" customFormat="1" ht="13.5" customHeight="1" x14ac:dyDescent="0.15">
      <c r="B1021" s="33"/>
      <c r="C1021" s="5" t="s">
        <v>4</v>
      </c>
      <c r="D1021" s="9">
        <f>ROUND(C12*680,0)</f>
        <v>7140</v>
      </c>
      <c r="E1021" s="6" t="s">
        <v>5</v>
      </c>
      <c r="F1021" s="11">
        <f>ROUND(C12*1936,0)</f>
        <v>20328</v>
      </c>
      <c r="G1021" s="35">
        <v>100</v>
      </c>
      <c r="H1021" s="17"/>
    </row>
    <row r="1022" spans="2:8" s="1" customFormat="1" ht="13.5" customHeight="1" x14ac:dyDescent="0.15">
      <c r="B1022" s="33"/>
      <c r="C1022" s="7" t="s">
        <v>6</v>
      </c>
      <c r="D1022" s="10">
        <v>4</v>
      </c>
      <c r="E1022" s="8" t="s">
        <v>7</v>
      </c>
      <c r="F1022" s="12">
        <f>ROUND(C12*500,0)</f>
        <v>5250</v>
      </c>
      <c r="G1022" s="36"/>
      <c r="H1022" s="17"/>
    </row>
    <row r="1023" spans="2:8" s="1" customFormat="1" ht="14.25" thickBot="1" x14ac:dyDescent="0.2">
      <c r="B1023" s="34"/>
      <c r="C1023" s="18" t="s">
        <v>16</v>
      </c>
      <c r="D1023" s="19" t="s">
        <v>71</v>
      </c>
      <c r="E1023" s="20" t="s">
        <v>17</v>
      </c>
      <c r="F1023" s="21" t="s">
        <v>51</v>
      </c>
      <c r="G1023" s="22" t="s">
        <v>20</v>
      </c>
      <c r="H1023" s="23" t="s">
        <v>37</v>
      </c>
    </row>
    <row r="1024" spans="2:8" s="1" customFormat="1" x14ac:dyDescent="0.15">
      <c r="B1024" s="13" t="s">
        <v>1</v>
      </c>
      <c r="C1024" s="14" t="s">
        <v>0</v>
      </c>
      <c r="D1024" s="29" t="s">
        <v>357</v>
      </c>
      <c r="E1024" s="30"/>
      <c r="F1024" s="31"/>
      <c r="G1024" s="15" t="s">
        <v>57</v>
      </c>
      <c r="H1024" s="16" t="s">
        <v>167</v>
      </c>
    </row>
    <row r="1025" spans="2:8" s="1" customFormat="1" x14ac:dyDescent="0.15">
      <c r="B1025" s="32">
        <v>200203</v>
      </c>
      <c r="C1025" s="2" t="s">
        <v>2</v>
      </c>
      <c r="D1025" s="9">
        <f>ROUND(C12*880,0)</f>
        <v>9240</v>
      </c>
      <c r="E1025" s="3" t="s">
        <v>3</v>
      </c>
      <c r="F1025" s="11">
        <f>ROUND(C12*476,0)</f>
        <v>4998</v>
      </c>
      <c r="G1025" s="4" t="s">
        <v>8</v>
      </c>
      <c r="H1025" s="17" t="s">
        <v>168</v>
      </c>
    </row>
    <row r="1026" spans="2:8" s="1" customFormat="1" ht="13.5" customHeight="1" x14ac:dyDescent="0.15">
      <c r="B1026" s="33"/>
      <c r="C1026" s="5" t="s">
        <v>4</v>
      </c>
      <c r="D1026" s="9">
        <f>ROUND(C12*680,0)</f>
        <v>7140</v>
      </c>
      <c r="E1026" s="6" t="s">
        <v>5</v>
      </c>
      <c r="F1026" s="11">
        <f>ROUND(C12*880,0)</f>
        <v>9240</v>
      </c>
      <c r="G1026" s="35">
        <v>50</v>
      </c>
      <c r="H1026" s="17"/>
    </row>
    <row r="1027" spans="2:8" s="1" customFormat="1" ht="13.5" customHeight="1" x14ac:dyDescent="0.15">
      <c r="B1027" s="33"/>
      <c r="C1027" s="7" t="s">
        <v>6</v>
      </c>
      <c r="D1027" s="10">
        <v>7</v>
      </c>
      <c r="E1027" s="8" t="s">
        <v>7</v>
      </c>
      <c r="F1027" s="12">
        <f>ROUND(C12*380,0)</f>
        <v>3990</v>
      </c>
      <c r="G1027" s="36"/>
      <c r="H1027" s="17"/>
    </row>
    <row r="1028" spans="2:8" s="1" customFormat="1" ht="14.25" thickBot="1" x14ac:dyDescent="0.2">
      <c r="B1028" s="34"/>
      <c r="C1028" s="18" t="s">
        <v>16</v>
      </c>
      <c r="D1028" s="19" t="s">
        <v>82</v>
      </c>
      <c r="E1028" s="20" t="s">
        <v>17</v>
      </c>
      <c r="F1028" s="21" t="s">
        <v>54</v>
      </c>
      <c r="G1028" s="22" t="s">
        <v>20</v>
      </c>
      <c r="H1028" s="23" t="s">
        <v>358</v>
      </c>
    </row>
    <row r="1029" spans="2:8" s="1" customFormat="1" x14ac:dyDescent="0.15">
      <c r="B1029" s="13" t="s">
        <v>1</v>
      </c>
      <c r="C1029" s="14" t="s">
        <v>0</v>
      </c>
      <c r="D1029" s="29" t="s">
        <v>359</v>
      </c>
      <c r="E1029" s="30"/>
      <c r="F1029" s="31"/>
      <c r="G1029" s="15" t="s">
        <v>57</v>
      </c>
      <c r="H1029" s="16" t="s">
        <v>80</v>
      </c>
    </row>
    <row r="1030" spans="2:8" s="1" customFormat="1" x14ac:dyDescent="0.15">
      <c r="B1030" s="32">
        <v>200204</v>
      </c>
      <c r="C1030" s="2" t="s">
        <v>2</v>
      </c>
      <c r="D1030" s="9">
        <f>ROUND(C12*880,0)</f>
        <v>9240</v>
      </c>
      <c r="E1030" s="3" t="s">
        <v>3</v>
      </c>
      <c r="F1030" s="11">
        <f>ROUND(C12*476,0)</f>
        <v>4998</v>
      </c>
      <c r="G1030" s="4" t="s">
        <v>8</v>
      </c>
      <c r="H1030" s="17" t="s">
        <v>81</v>
      </c>
    </row>
    <row r="1031" spans="2:8" s="1" customFormat="1" ht="13.5" customHeight="1" x14ac:dyDescent="0.15">
      <c r="B1031" s="33"/>
      <c r="C1031" s="5" t="s">
        <v>4</v>
      </c>
      <c r="D1031" s="9">
        <f>ROUND(C12*680,0)</f>
        <v>7140</v>
      </c>
      <c r="E1031" s="6" t="s">
        <v>5</v>
      </c>
      <c r="F1031" s="11">
        <f>ROUND(C12*880,0)</f>
        <v>9240</v>
      </c>
      <c r="G1031" s="35">
        <v>100</v>
      </c>
      <c r="H1031" s="17"/>
    </row>
    <row r="1032" spans="2:8" s="1" customFormat="1" ht="13.5" customHeight="1" x14ac:dyDescent="0.15">
      <c r="B1032" s="33"/>
      <c r="C1032" s="7" t="s">
        <v>6</v>
      </c>
      <c r="D1032" s="10">
        <v>7</v>
      </c>
      <c r="E1032" s="8" t="s">
        <v>7</v>
      </c>
      <c r="F1032" s="12">
        <f>ROUND(C12*380,0)</f>
        <v>3990</v>
      </c>
      <c r="G1032" s="36"/>
      <c r="H1032" s="17"/>
    </row>
    <row r="1033" spans="2:8" s="1" customFormat="1" ht="14.25" thickBot="1" x14ac:dyDescent="0.2">
      <c r="B1033" s="34"/>
      <c r="C1033" s="18" t="s">
        <v>16</v>
      </c>
      <c r="D1033" s="19" t="s">
        <v>48</v>
      </c>
      <c r="E1033" s="20" t="s">
        <v>17</v>
      </c>
      <c r="F1033" s="21" t="s">
        <v>49</v>
      </c>
      <c r="G1033" s="22" t="s">
        <v>20</v>
      </c>
      <c r="H1033" s="23" t="s">
        <v>37</v>
      </c>
    </row>
    <row r="1034" spans="2:8" s="1" customFormat="1" x14ac:dyDescent="0.15">
      <c r="B1034" s="13" t="s">
        <v>1</v>
      </c>
      <c r="C1034" s="14" t="s">
        <v>0</v>
      </c>
      <c r="D1034" s="29" t="s">
        <v>360</v>
      </c>
      <c r="E1034" s="30"/>
      <c r="F1034" s="31"/>
      <c r="G1034" s="15" t="s">
        <v>57</v>
      </c>
      <c r="H1034" s="16" t="s">
        <v>341</v>
      </c>
    </row>
    <row r="1035" spans="2:8" s="1" customFormat="1" x14ac:dyDescent="0.15">
      <c r="B1035" s="32">
        <v>200205</v>
      </c>
      <c r="C1035" s="2" t="s">
        <v>2</v>
      </c>
      <c r="D1035" s="9">
        <f>ROUND(C12*880,0)</f>
        <v>9240</v>
      </c>
      <c r="E1035" s="3" t="s">
        <v>3</v>
      </c>
      <c r="F1035" s="11">
        <f>ROUND(C12*476,0)</f>
        <v>4998</v>
      </c>
      <c r="G1035" s="4" t="s">
        <v>8</v>
      </c>
      <c r="H1035" s="17" t="s">
        <v>144</v>
      </c>
    </row>
    <row r="1036" spans="2:8" s="1" customFormat="1" ht="13.5" customHeight="1" x14ac:dyDescent="0.15">
      <c r="B1036" s="33"/>
      <c r="C1036" s="5" t="s">
        <v>4</v>
      </c>
      <c r="D1036" s="9">
        <f>ROUND(C12*680,0)</f>
        <v>7140</v>
      </c>
      <c r="E1036" s="6" t="s">
        <v>5</v>
      </c>
      <c r="F1036" s="11">
        <f>ROUND(C12*880,0)</f>
        <v>9240</v>
      </c>
      <c r="G1036" s="35">
        <v>50</v>
      </c>
      <c r="H1036" s="17"/>
    </row>
    <row r="1037" spans="2:8" s="1" customFormat="1" ht="13.5" customHeight="1" x14ac:dyDescent="0.15">
      <c r="B1037" s="33"/>
      <c r="C1037" s="7" t="s">
        <v>6</v>
      </c>
      <c r="D1037" s="10">
        <v>7</v>
      </c>
      <c r="E1037" s="8" t="s">
        <v>7</v>
      </c>
      <c r="F1037" s="12">
        <f>ROUND(C12*380,0)</f>
        <v>3990</v>
      </c>
      <c r="G1037" s="36"/>
      <c r="H1037" s="17"/>
    </row>
    <row r="1038" spans="2:8" s="1" customFormat="1" ht="14.25" thickBot="1" x14ac:dyDescent="0.2">
      <c r="B1038" s="34"/>
      <c r="C1038" s="18" t="s">
        <v>16</v>
      </c>
      <c r="D1038" s="19" t="s">
        <v>32</v>
      </c>
      <c r="E1038" s="20" t="s">
        <v>17</v>
      </c>
      <c r="F1038" s="21" t="s">
        <v>211</v>
      </c>
      <c r="G1038" s="22" t="s">
        <v>20</v>
      </c>
      <c r="H1038" s="23" t="s">
        <v>262</v>
      </c>
    </row>
    <row r="1039" spans="2:8" s="1" customFormat="1" x14ac:dyDescent="0.15">
      <c r="B1039" s="13" t="s">
        <v>1</v>
      </c>
      <c r="C1039" s="14" t="s">
        <v>0</v>
      </c>
      <c r="D1039" s="29" t="s">
        <v>361</v>
      </c>
      <c r="E1039" s="30"/>
      <c r="F1039" s="31"/>
      <c r="G1039" s="15" t="s">
        <v>57</v>
      </c>
      <c r="H1039" s="16" t="s">
        <v>41</v>
      </c>
    </row>
    <row r="1040" spans="2:8" s="1" customFormat="1" x14ac:dyDescent="0.15">
      <c r="B1040" s="32">
        <v>200206</v>
      </c>
      <c r="C1040" s="2" t="s">
        <v>2</v>
      </c>
      <c r="D1040" s="9">
        <f>ROUND(C12*880,0)</f>
        <v>9240</v>
      </c>
      <c r="E1040" s="3" t="s">
        <v>3</v>
      </c>
      <c r="F1040" s="11">
        <f>ROUND(C12*476,0)</f>
        <v>4998</v>
      </c>
      <c r="G1040" s="4" t="s">
        <v>8</v>
      </c>
      <c r="H1040" s="17" t="s">
        <v>25</v>
      </c>
    </row>
    <row r="1041" spans="2:8" s="1" customFormat="1" ht="13.5" customHeight="1" x14ac:dyDescent="0.15">
      <c r="B1041" s="33"/>
      <c r="C1041" s="5" t="s">
        <v>4</v>
      </c>
      <c r="D1041" s="9">
        <f>ROUND(C12*680,0)</f>
        <v>7140</v>
      </c>
      <c r="E1041" s="6" t="s">
        <v>5</v>
      </c>
      <c r="F1041" s="11">
        <f>ROUND(C12*880,0)</f>
        <v>9240</v>
      </c>
      <c r="G1041" s="35">
        <v>100</v>
      </c>
      <c r="H1041" s="17"/>
    </row>
    <row r="1042" spans="2:8" s="1" customFormat="1" ht="13.5" customHeight="1" x14ac:dyDescent="0.15">
      <c r="B1042" s="33"/>
      <c r="C1042" s="7" t="s">
        <v>6</v>
      </c>
      <c r="D1042" s="10">
        <v>7</v>
      </c>
      <c r="E1042" s="8" t="s">
        <v>7</v>
      </c>
      <c r="F1042" s="12">
        <f>ROUND(C12*380,0)</f>
        <v>3990</v>
      </c>
      <c r="G1042" s="36"/>
      <c r="H1042" s="17"/>
    </row>
    <row r="1043" spans="2:8" s="1" customFormat="1" ht="14.25" thickBot="1" x14ac:dyDescent="0.2">
      <c r="B1043" s="34"/>
      <c r="C1043" s="18" t="s">
        <v>16</v>
      </c>
      <c r="D1043" s="19" t="s">
        <v>392</v>
      </c>
      <c r="E1043" s="20" t="s">
        <v>17</v>
      </c>
      <c r="F1043" s="21" t="s">
        <v>71</v>
      </c>
      <c r="G1043" s="22" t="s">
        <v>20</v>
      </c>
      <c r="H1043" s="23" t="s">
        <v>37</v>
      </c>
    </row>
    <row r="1044" spans="2:8" s="1" customFormat="1" x14ac:dyDescent="0.15">
      <c r="B1044" s="13" t="s">
        <v>1</v>
      </c>
      <c r="C1044" s="14" t="s">
        <v>0</v>
      </c>
      <c r="D1044" s="29" t="s">
        <v>362</v>
      </c>
      <c r="E1044" s="30"/>
      <c r="F1044" s="31"/>
      <c r="G1044" s="15" t="s">
        <v>57</v>
      </c>
      <c r="H1044" s="16" t="s">
        <v>47</v>
      </c>
    </row>
    <row r="1045" spans="2:8" s="1" customFormat="1" x14ac:dyDescent="0.15">
      <c r="B1045" s="32">
        <v>200207</v>
      </c>
      <c r="C1045" s="2" t="s">
        <v>2</v>
      </c>
      <c r="D1045" s="9">
        <f>ROUND(C12*880,0)</f>
        <v>9240</v>
      </c>
      <c r="E1045" s="3" t="s">
        <v>3</v>
      </c>
      <c r="F1045" s="11">
        <f>ROUND(C12*476,0)</f>
        <v>4998</v>
      </c>
      <c r="G1045" s="4" t="s">
        <v>8</v>
      </c>
      <c r="H1045" s="17" t="s">
        <v>28</v>
      </c>
    </row>
    <row r="1046" spans="2:8" s="1" customFormat="1" ht="13.5" customHeight="1" x14ac:dyDescent="0.15">
      <c r="B1046" s="33"/>
      <c r="C1046" s="5" t="s">
        <v>4</v>
      </c>
      <c r="D1046" s="9">
        <f>ROUND(C12*680,0)</f>
        <v>7140</v>
      </c>
      <c r="E1046" s="6" t="s">
        <v>5</v>
      </c>
      <c r="F1046" s="11">
        <f>ROUND(C12*880,0)</f>
        <v>9240</v>
      </c>
      <c r="G1046" s="35">
        <v>50</v>
      </c>
      <c r="H1046" s="17"/>
    </row>
    <row r="1047" spans="2:8" s="1" customFormat="1" ht="13.5" customHeight="1" x14ac:dyDescent="0.15">
      <c r="B1047" s="33"/>
      <c r="C1047" s="7" t="s">
        <v>6</v>
      </c>
      <c r="D1047" s="10">
        <v>7</v>
      </c>
      <c r="E1047" s="8" t="s">
        <v>7</v>
      </c>
      <c r="F1047" s="12">
        <f>ROUND(C12*380,0)</f>
        <v>3990</v>
      </c>
      <c r="G1047" s="36"/>
      <c r="H1047" s="17"/>
    </row>
    <row r="1048" spans="2:8" s="1" customFormat="1" ht="14.25" thickBot="1" x14ac:dyDescent="0.2">
      <c r="B1048" s="34"/>
      <c r="C1048" s="18" t="s">
        <v>16</v>
      </c>
      <c r="D1048" s="19" t="s">
        <v>56</v>
      </c>
      <c r="E1048" s="20" t="s">
        <v>17</v>
      </c>
      <c r="F1048" s="21" t="s">
        <v>113</v>
      </c>
      <c r="G1048" s="22" t="s">
        <v>20</v>
      </c>
      <c r="H1048" s="23" t="s">
        <v>363</v>
      </c>
    </row>
    <row r="1049" spans="2:8" s="1" customFormat="1" x14ac:dyDescent="0.15">
      <c r="B1049" s="13" t="s">
        <v>1</v>
      </c>
      <c r="C1049" s="14" t="s">
        <v>0</v>
      </c>
      <c r="D1049" s="29" t="s">
        <v>364</v>
      </c>
      <c r="E1049" s="30"/>
      <c r="F1049" s="31"/>
      <c r="G1049" s="15" t="s">
        <v>57</v>
      </c>
      <c r="H1049" s="16" t="s">
        <v>35</v>
      </c>
    </row>
    <row r="1050" spans="2:8" s="1" customFormat="1" x14ac:dyDescent="0.15">
      <c r="B1050" s="32">
        <v>200208</v>
      </c>
      <c r="C1050" s="2" t="s">
        <v>2</v>
      </c>
      <c r="D1050" s="9">
        <f>ROUND(C12*880,0)</f>
        <v>9240</v>
      </c>
      <c r="E1050" s="3" t="s">
        <v>3</v>
      </c>
      <c r="F1050" s="11">
        <f>ROUND(C12*980,0)</f>
        <v>10290</v>
      </c>
      <c r="G1050" s="4" t="s">
        <v>8</v>
      </c>
      <c r="H1050" s="17" t="s">
        <v>23</v>
      </c>
    </row>
    <row r="1051" spans="2:8" s="1" customFormat="1" ht="13.5" customHeight="1" x14ac:dyDescent="0.15">
      <c r="B1051" s="33"/>
      <c r="C1051" s="5" t="s">
        <v>4</v>
      </c>
      <c r="D1051" s="9">
        <f>ROUND(C12*680,0)</f>
        <v>7140</v>
      </c>
      <c r="E1051" s="6" t="s">
        <v>5</v>
      </c>
      <c r="F1051" s="11">
        <f>ROUND(C12*1936,0)</f>
        <v>20328</v>
      </c>
      <c r="G1051" s="35">
        <v>100</v>
      </c>
      <c r="H1051" s="17"/>
    </row>
    <row r="1052" spans="2:8" s="1" customFormat="1" ht="13.5" customHeight="1" x14ac:dyDescent="0.15">
      <c r="B1052" s="33"/>
      <c r="C1052" s="7" t="s">
        <v>6</v>
      </c>
      <c r="D1052" s="10">
        <v>4</v>
      </c>
      <c r="E1052" s="8" t="s">
        <v>7</v>
      </c>
      <c r="F1052" s="12">
        <f>ROUND(C12*380,0)</f>
        <v>3990</v>
      </c>
      <c r="G1052" s="36"/>
      <c r="H1052" s="17"/>
    </row>
    <row r="1053" spans="2:8" s="1" customFormat="1" ht="14.25" thickBot="1" x14ac:dyDescent="0.2">
      <c r="B1053" s="34"/>
      <c r="C1053" s="18" t="s">
        <v>16</v>
      </c>
      <c r="D1053" s="19" t="s">
        <v>405</v>
      </c>
      <c r="E1053" s="20" t="s">
        <v>17</v>
      </c>
      <c r="F1053" s="21" t="s">
        <v>56</v>
      </c>
      <c r="G1053" s="22" t="s">
        <v>20</v>
      </c>
      <c r="H1053" s="23" t="s">
        <v>37</v>
      </c>
    </row>
    <row r="1054" spans="2:8" s="1" customFormat="1" x14ac:dyDescent="0.15">
      <c r="B1054" s="13" t="s">
        <v>1</v>
      </c>
      <c r="C1054" s="14" t="s">
        <v>0</v>
      </c>
      <c r="D1054" s="29" t="s">
        <v>365</v>
      </c>
      <c r="E1054" s="30"/>
      <c r="F1054" s="31"/>
      <c r="G1054" s="15" t="s">
        <v>57</v>
      </c>
      <c r="H1054" s="16" t="s">
        <v>128</v>
      </c>
    </row>
    <row r="1055" spans="2:8" s="1" customFormat="1" x14ac:dyDescent="0.15">
      <c r="B1055" s="32">
        <v>200209</v>
      </c>
      <c r="C1055" s="2" t="s">
        <v>2</v>
      </c>
      <c r="D1055" s="9">
        <f>ROUND(C12*880,0)</f>
        <v>9240</v>
      </c>
      <c r="E1055" s="3" t="s">
        <v>3</v>
      </c>
      <c r="F1055" s="11">
        <f>ROUND(C12*476,0)</f>
        <v>4998</v>
      </c>
      <c r="G1055" s="4" t="s">
        <v>8</v>
      </c>
      <c r="H1055" s="17" t="s">
        <v>129</v>
      </c>
    </row>
    <row r="1056" spans="2:8" s="1" customFormat="1" ht="13.5" customHeight="1" x14ac:dyDescent="0.15">
      <c r="B1056" s="33"/>
      <c r="C1056" s="5" t="s">
        <v>4</v>
      </c>
      <c r="D1056" s="9">
        <f>ROUND(C12*680,0)</f>
        <v>7140</v>
      </c>
      <c r="E1056" s="6" t="s">
        <v>5</v>
      </c>
      <c r="F1056" s="11">
        <f>ROUND(C12*880,0)</f>
        <v>9240</v>
      </c>
      <c r="G1056" s="35">
        <v>100</v>
      </c>
      <c r="H1056" s="17"/>
    </row>
    <row r="1057" spans="2:8" s="1" customFormat="1" ht="13.5" customHeight="1" x14ac:dyDescent="0.15">
      <c r="B1057" s="33"/>
      <c r="C1057" s="7" t="s">
        <v>6</v>
      </c>
      <c r="D1057" s="10">
        <v>7</v>
      </c>
      <c r="E1057" s="8" t="s">
        <v>7</v>
      </c>
      <c r="F1057" s="12">
        <f>ROUND(C12*420,0)</f>
        <v>4410</v>
      </c>
      <c r="G1057" s="36"/>
      <c r="H1057" s="17"/>
    </row>
    <row r="1058" spans="2:8" s="1" customFormat="1" ht="14.25" thickBot="1" x14ac:dyDescent="0.2">
      <c r="B1058" s="34"/>
      <c r="C1058" s="18" t="s">
        <v>16</v>
      </c>
      <c r="D1058" s="19" t="s">
        <v>56</v>
      </c>
      <c r="E1058" s="20" t="s">
        <v>17</v>
      </c>
      <c r="F1058" s="21" t="s">
        <v>48</v>
      </c>
      <c r="G1058" s="22" t="s">
        <v>20</v>
      </c>
      <c r="H1058" s="23" t="s">
        <v>37</v>
      </c>
    </row>
    <row r="1059" spans="2:8" s="1" customFormat="1" x14ac:dyDescent="0.15">
      <c r="B1059" s="13" t="s">
        <v>1</v>
      </c>
      <c r="C1059" s="14" t="s">
        <v>0</v>
      </c>
      <c r="D1059" s="29" t="s">
        <v>366</v>
      </c>
      <c r="E1059" s="30"/>
      <c r="F1059" s="31"/>
      <c r="G1059" s="15" t="s">
        <v>57</v>
      </c>
      <c r="H1059" s="16" t="s">
        <v>77</v>
      </c>
    </row>
    <row r="1060" spans="2:8" s="1" customFormat="1" x14ac:dyDescent="0.15">
      <c r="B1060" s="32">
        <v>200210</v>
      </c>
      <c r="C1060" s="2" t="s">
        <v>2</v>
      </c>
      <c r="D1060" s="9">
        <f>ROUND(C12*880,0)</f>
        <v>9240</v>
      </c>
      <c r="E1060" s="3" t="s">
        <v>3</v>
      </c>
      <c r="F1060" s="11">
        <f>ROUND(C12*980,0)</f>
        <v>10290</v>
      </c>
      <c r="G1060" s="4" t="s">
        <v>8</v>
      </c>
      <c r="H1060" s="17" t="s">
        <v>78</v>
      </c>
    </row>
    <row r="1061" spans="2:8" s="1" customFormat="1" ht="13.5" customHeight="1" x14ac:dyDescent="0.15">
      <c r="B1061" s="33"/>
      <c r="C1061" s="5" t="s">
        <v>4</v>
      </c>
      <c r="D1061" s="9">
        <f>ROUND(C12*680,0)</f>
        <v>7140</v>
      </c>
      <c r="E1061" s="6" t="s">
        <v>5</v>
      </c>
      <c r="F1061" s="11">
        <f>ROUND(C12*1936,0)</f>
        <v>20328</v>
      </c>
      <c r="G1061" s="35">
        <v>100</v>
      </c>
      <c r="H1061" s="17"/>
    </row>
    <row r="1062" spans="2:8" s="1" customFormat="1" ht="13.5" customHeight="1" x14ac:dyDescent="0.15">
      <c r="B1062" s="33"/>
      <c r="C1062" s="7" t="s">
        <v>6</v>
      </c>
      <c r="D1062" s="10">
        <v>4</v>
      </c>
      <c r="E1062" s="8" t="s">
        <v>7</v>
      </c>
      <c r="F1062" s="12">
        <f>ROUND(C12*500,0)</f>
        <v>5250</v>
      </c>
      <c r="G1062" s="36"/>
      <c r="H1062" s="17"/>
    </row>
    <row r="1063" spans="2:8" s="1" customFormat="1" ht="14.25" thickBot="1" x14ac:dyDescent="0.2">
      <c r="B1063" s="34"/>
      <c r="C1063" s="18" t="s">
        <v>16</v>
      </c>
      <c r="D1063" s="19" t="s">
        <v>51</v>
      </c>
      <c r="E1063" s="20" t="s">
        <v>17</v>
      </c>
      <c r="F1063" s="21" t="s">
        <v>71</v>
      </c>
      <c r="G1063" s="22" t="s">
        <v>20</v>
      </c>
      <c r="H1063" s="23" t="s">
        <v>37</v>
      </c>
    </row>
    <row r="1064" spans="2:8" s="1" customFormat="1" x14ac:dyDescent="0.15">
      <c r="B1064" s="13" t="s">
        <v>1</v>
      </c>
      <c r="C1064" s="14" t="s">
        <v>0</v>
      </c>
      <c r="D1064" s="29" t="s">
        <v>367</v>
      </c>
      <c r="E1064" s="30"/>
      <c r="F1064" s="31"/>
      <c r="G1064" s="15" t="s">
        <v>57</v>
      </c>
      <c r="H1064" s="16" t="s">
        <v>41</v>
      </c>
    </row>
    <row r="1065" spans="2:8" s="1" customFormat="1" x14ac:dyDescent="0.15">
      <c r="B1065" s="32">
        <v>200211</v>
      </c>
      <c r="C1065" s="2" t="s">
        <v>2</v>
      </c>
      <c r="D1065" s="9">
        <f>ROUND(C12*880,0)</f>
        <v>9240</v>
      </c>
      <c r="E1065" s="3" t="s">
        <v>3</v>
      </c>
      <c r="F1065" s="11">
        <f>ROUND(C12*476,0)</f>
        <v>4998</v>
      </c>
      <c r="G1065" s="4" t="s">
        <v>8</v>
      </c>
      <c r="H1065" s="17" t="s">
        <v>25</v>
      </c>
    </row>
    <row r="1066" spans="2:8" s="1" customFormat="1" ht="13.5" customHeight="1" x14ac:dyDescent="0.15">
      <c r="B1066" s="33"/>
      <c r="C1066" s="5" t="s">
        <v>4</v>
      </c>
      <c r="D1066" s="9">
        <f>ROUND(C12*680,0)</f>
        <v>7140</v>
      </c>
      <c r="E1066" s="6" t="s">
        <v>5</v>
      </c>
      <c r="F1066" s="11">
        <f>ROUND(C12*880,0)</f>
        <v>9240</v>
      </c>
      <c r="G1066" s="35">
        <v>100</v>
      </c>
      <c r="H1066" s="17"/>
    </row>
    <row r="1067" spans="2:8" s="1" customFormat="1" ht="13.5" customHeight="1" x14ac:dyDescent="0.15">
      <c r="B1067" s="33"/>
      <c r="C1067" s="7" t="s">
        <v>6</v>
      </c>
      <c r="D1067" s="10">
        <v>7</v>
      </c>
      <c r="E1067" s="8" t="s">
        <v>7</v>
      </c>
      <c r="F1067" s="12">
        <f>ROUND(C12*439,0)</f>
        <v>4610</v>
      </c>
      <c r="G1067" s="36"/>
      <c r="H1067" s="17"/>
    </row>
    <row r="1068" spans="2:8" s="1" customFormat="1" ht="14.25" thickBot="1" x14ac:dyDescent="0.2">
      <c r="B1068" s="34"/>
      <c r="C1068" s="18" t="s">
        <v>16</v>
      </c>
      <c r="D1068" s="19" t="s">
        <v>85</v>
      </c>
      <c r="E1068" s="20" t="s">
        <v>17</v>
      </c>
      <c r="F1068" s="21" t="s">
        <v>82</v>
      </c>
      <c r="G1068" s="22" t="s">
        <v>20</v>
      </c>
      <c r="H1068" s="23" t="s">
        <v>37</v>
      </c>
    </row>
    <row r="1069" spans="2:8" s="1" customFormat="1" x14ac:dyDescent="0.15">
      <c r="B1069" s="13" t="s">
        <v>1</v>
      </c>
      <c r="C1069" s="14" t="s">
        <v>0</v>
      </c>
      <c r="D1069" s="29" t="s">
        <v>368</v>
      </c>
      <c r="E1069" s="30"/>
      <c r="F1069" s="31"/>
      <c r="G1069" s="15" t="s">
        <v>57</v>
      </c>
      <c r="H1069" s="16" t="s">
        <v>146</v>
      </c>
    </row>
    <row r="1070" spans="2:8" s="1" customFormat="1" x14ac:dyDescent="0.15">
      <c r="B1070" s="32">
        <v>200212</v>
      </c>
      <c r="C1070" s="2" t="s">
        <v>2</v>
      </c>
      <c r="D1070" s="9">
        <f>ROUND(C12*880,0)</f>
        <v>9240</v>
      </c>
      <c r="E1070" s="3" t="s">
        <v>3</v>
      </c>
      <c r="F1070" s="11">
        <f>ROUND(C12*476,0)</f>
        <v>4998</v>
      </c>
      <c r="G1070" s="4" t="s">
        <v>8</v>
      </c>
      <c r="H1070" s="17" t="s">
        <v>147</v>
      </c>
    </row>
    <row r="1071" spans="2:8" s="1" customFormat="1" ht="13.5" customHeight="1" x14ac:dyDescent="0.15">
      <c r="B1071" s="33"/>
      <c r="C1071" s="5" t="s">
        <v>4</v>
      </c>
      <c r="D1071" s="9">
        <f>ROUND(C12*680,0)</f>
        <v>7140</v>
      </c>
      <c r="E1071" s="6" t="s">
        <v>5</v>
      </c>
      <c r="F1071" s="11">
        <f>ROUND(C12*880,0)</f>
        <v>9240</v>
      </c>
      <c r="G1071" s="35">
        <v>100</v>
      </c>
      <c r="H1071" s="17"/>
    </row>
    <row r="1072" spans="2:8" s="1" customFormat="1" ht="13.5" customHeight="1" x14ac:dyDescent="0.15">
      <c r="B1072" s="33"/>
      <c r="C1072" s="7" t="s">
        <v>6</v>
      </c>
      <c r="D1072" s="10">
        <v>7</v>
      </c>
      <c r="E1072" s="8" t="s">
        <v>7</v>
      </c>
      <c r="F1072" s="12">
        <f>ROUND(C12*383,0)</f>
        <v>4022</v>
      </c>
      <c r="G1072" s="36"/>
      <c r="H1072" s="17"/>
    </row>
    <row r="1073" spans="2:8" s="1" customFormat="1" ht="14.25" thickBot="1" x14ac:dyDescent="0.2">
      <c r="B1073" s="34"/>
      <c r="C1073" s="18" t="s">
        <v>16</v>
      </c>
      <c r="D1073" s="19" t="s">
        <v>56</v>
      </c>
      <c r="E1073" s="20" t="s">
        <v>17</v>
      </c>
      <c r="F1073" s="21" t="s">
        <v>113</v>
      </c>
      <c r="G1073" s="22" t="s">
        <v>20</v>
      </c>
      <c r="H1073" s="23" t="s">
        <v>37</v>
      </c>
    </row>
    <row r="1074" spans="2:8" s="1" customFormat="1" x14ac:dyDescent="0.15">
      <c r="B1074" s="13" t="s">
        <v>1</v>
      </c>
      <c r="C1074" s="14" t="s">
        <v>0</v>
      </c>
      <c r="D1074" s="29" t="s">
        <v>369</v>
      </c>
      <c r="E1074" s="30"/>
      <c r="F1074" s="31"/>
      <c r="G1074" s="15" t="s">
        <v>57</v>
      </c>
      <c r="H1074" s="16" t="s">
        <v>50</v>
      </c>
    </row>
    <row r="1075" spans="2:8" s="1" customFormat="1" x14ac:dyDescent="0.15">
      <c r="B1075" s="32">
        <v>200213</v>
      </c>
      <c r="C1075" s="2" t="s">
        <v>2</v>
      </c>
      <c r="D1075" s="9">
        <f>ROUND(C12*880,0)</f>
        <v>9240</v>
      </c>
      <c r="E1075" s="3" t="s">
        <v>3</v>
      </c>
      <c r="F1075" s="11">
        <f>ROUND(C12*980,0)</f>
        <v>10290</v>
      </c>
      <c r="G1075" s="4" t="s">
        <v>8</v>
      </c>
      <c r="H1075" s="17" t="s">
        <v>29</v>
      </c>
    </row>
    <row r="1076" spans="2:8" s="1" customFormat="1" ht="13.5" customHeight="1" x14ac:dyDescent="0.15">
      <c r="B1076" s="33"/>
      <c r="C1076" s="5" t="s">
        <v>4</v>
      </c>
      <c r="D1076" s="9">
        <f>ROUND(C12*680,0)</f>
        <v>7140</v>
      </c>
      <c r="E1076" s="6" t="s">
        <v>5</v>
      </c>
      <c r="F1076" s="11">
        <f>ROUND(C12*1936,0)</f>
        <v>20328</v>
      </c>
      <c r="G1076" s="35">
        <v>100</v>
      </c>
      <c r="H1076" s="17"/>
    </row>
    <row r="1077" spans="2:8" s="1" customFormat="1" ht="13.5" customHeight="1" x14ac:dyDescent="0.15">
      <c r="B1077" s="33"/>
      <c r="C1077" s="7" t="s">
        <v>6</v>
      </c>
      <c r="D1077" s="10">
        <v>4</v>
      </c>
      <c r="E1077" s="8" t="s">
        <v>7</v>
      </c>
      <c r="F1077" s="12">
        <f>ROUND(C12*489,0)</f>
        <v>5135</v>
      </c>
      <c r="G1077" s="36"/>
      <c r="H1077" s="17"/>
    </row>
    <row r="1078" spans="2:8" s="1" customFormat="1" ht="14.25" thickBot="1" x14ac:dyDescent="0.2">
      <c r="B1078" s="34"/>
      <c r="C1078" s="18" t="s">
        <v>16</v>
      </c>
      <c r="D1078" s="19" t="s">
        <v>93</v>
      </c>
      <c r="E1078" s="20" t="s">
        <v>17</v>
      </c>
      <c r="F1078" s="21" t="s">
        <v>113</v>
      </c>
      <c r="G1078" s="22" t="s">
        <v>20</v>
      </c>
      <c r="H1078" s="23" t="s">
        <v>37</v>
      </c>
    </row>
    <row r="1079" spans="2:8" s="1" customFormat="1" x14ac:dyDescent="0.15">
      <c r="B1079" s="13" t="s">
        <v>1</v>
      </c>
      <c r="C1079" s="14" t="s">
        <v>0</v>
      </c>
      <c r="D1079" s="29" t="s">
        <v>370</v>
      </c>
      <c r="E1079" s="30"/>
      <c r="F1079" s="31"/>
      <c r="G1079" s="15" t="s">
        <v>57</v>
      </c>
      <c r="H1079" s="16" t="s">
        <v>88</v>
      </c>
    </row>
    <row r="1080" spans="2:8" s="1" customFormat="1" x14ac:dyDescent="0.15">
      <c r="B1080" s="32">
        <v>200214</v>
      </c>
      <c r="C1080" s="2" t="s">
        <v>2</v>
      </c>
      <c r="D1080" s="9">
        <f>ROUND(C12*880,0)</f>
        <v>9240</v>
      </c>
      <c r="E1080" s="3" t="s">
        <v>3</v>
      </c>
      <c r="F1080" s="11">
        <f>ROUND(C12*476,0)</f>
        <v>4998</v>
      </c>
      <c r="G1080" s="4" t="s">
        <v>8</v>
      </c>
      <c r="H1080" s="17" t="s">
        <v>89</v>
      </c>
    </row>
    <row r="1081" spans="2:8" s="1" customFormat="1" ht="13.5" customHeight="1" x14ac:dyDescent="0.15">
      <c r="B1081" s="33"/>
      <c r="C1081" s="5" t="s">
        <v>4</v>
      </c>
      <c r="D1081" s="9">
        <f>ROUND(C12*680,0)</f>
        <v>7140</v>
      </c>
      <c r="E1081" s="6" t="s">
        <v>5</v>
      </c>
      <c r="F1081" s="11">
        <f>ROUND(C12*880,0)</f>
        <v>9240</v>
      </c>
      <c r="G1081" s="35">
        <v>50</v>
      </c>
      <c r="H1081" s="17"/>
    </row>
    <row r="1082" spans="2:8" s="1" customFormat="1" ht="13.5" customHeight="1" x14ac:dyDescent="0.15">
      <c r="B1082" s="33"/>
      <c r="C1082" s="7" t="s">
        <v>6</v>
      </c>
      <c r="D1082" s="10">
        <v>7</v>
      </c>
      <c r="E1082" s="8" t="s">
        <v>7</v>
      </c>
      <c r="F1082" s="12">
        <f>ROUND(C12*510,0)</f>
        <v>5355</v>
      </c>
      <c r="G1082" s="36"/>
      <c r="H1082" s="17"/>
    </row>
    <row r="1083" spans="2:8" s="1" customFormat="1" ht="14.25" thickBot="1" x14ac:dyDescent="0.2">
      <c r="B1083" s="34"/>
      <c r="C1083" s="18" t="s">
        <v>16</v>
      </c>
      <c r="D1083" s="19" t="s">
        <v>396</v>
      </c>
      <c r="E1083" s="20" t="s">
        <v>17</v>
      </c>
      <c r="F1083" s="21" t="s">
        <v>93</v>
      </c>
      <c r="G1083" s="22" t="s">
        <v>20</v>
      </c>
      <c r="H1083" s="23" t="s">
        <v>106</v>
      </c>
    </row>
    <row r="1084" spans="2:8" s="1" customFormat="1" x14ac:dyDescent="0.15">
      <c r="B1084" s="13" t="s">
        <v>1</v>
      </c>
      <c r="C1084" s="14" t="s">
        <v>0</v>
      </c>
      <c r="D1084" s="29" t="s">
        <v>373</v>
      </c>
      <c r="E1084" s="30"/>
      <c r="F1084" s="31"/>
      <c r="G1084" s="15" t="s">
        <v>57</v>
      </c>
      <c r="H1084" s="16" t="s">
        <v>116</v>
      </c>
    </row>
    <row r="1085" spans="2:8" s="1" customFormat="1" x14ac:dyDescent="0.15">
      <c r="B1085" s="32">
        <v>200215</v>
      </c>
      <c r="C1085" s="2" t="s">
        <v>2</v>
      </c>
      <c r="D1085" s="9">
        <f>ROUND(C12*880,0)</f>
        <v>9240</v>
      </c>
      <c r="E1085" s="3" t="s">
        <v>3</v>
      </c>
      <c r="F1085" s="11">
        <f>ROUND(C12*476,0)</f>
        <v>4998</v>
      </c>
      <c r="G1085" s="4" t="s">
        <v>8</v>
      </c>
      <c r="H1085" s="17" t="s">
        <v>117</v>
      </c>
    </row>
    <row r="1086" spans="2:8" s="1" customFormat="1" ht="13.5" customHeight="1" x14ac:dyDescent="0.15">
      <c r="B1086" s="33"/>
      <c r="C1086" s="5" t="s">
        <v>4</v>
      </c>
      <c r="D1086" s="9">
        <f>ROUND(C12*680,0)</f>
        <v>7140</v>
      </c>
      <c r="E1086" s="6" t="s">
        <v>5</v>
      </c>
      <c r="F1086" s="11">
        <f>ROUND(C12*880,0)</f>
        <v>9240</v>
      </c>
      <c r="G1086" s="35">
        <v>100</v>
      </c>
      <c r="H1086" s="17"/>
    </row>
    <row r="1087" spans="2:8" s="1" customFormat="1" ht="13.5" customHeight="1" x14ac:dyDescent="0.15">
      <c r="B1087" s="33"/>
      <c r="C1087" s="7" t="s">
        <v>6</v>
      </c>
      <c r="D1087" s="10">
        <v>7</v>
      </c>
      <c r="E1087" s="8" t="s">
        <v>7</v>
      </c>
      <c r="F1087" s="12">
        <f>ROUND(C12*355,0)</f>
        <v>3728</v>
      </c>
      <c r="G1087" s="36"/>
      <c r="H1087" s="17"/>
    </row>
    <row r="1088" spans="2:8" s="1" customFormat="1" ht="14.25" thickBot="1" x14ac:dyDescent="0.2">
      <c r="B1088" s="34"/>
      <c r="C1088" s="18" t="s">
        <v>16</v>
      </c>
      <c r="D1088" s="19" t="s">
        <v>45</v>
      </c>
      <c r="E1088" s="20" t="s">
        <v>17</v>
      </c>
      <c r="F1088" s="21" t="s">
        <v>48</v>
      </c>
      <c r="G1088" s="22" t="s">
        <v>20</v>
      </c>
      <c r="H1088" s="23" t="s">
        <v>37</v>
      </c>
    </row>
    <row r="1089" spans="2:8" s="1" customFormat="1" x14ac:dyDescent="0.15">
      <c r="B1089" s="13" t="s">
        <v>1</v>
      </c>
      <c r="C1089" s="14" t="s">
        <v>0</v>
      </c>
      <c r="D1089" s="29" t="s">
        <v>374</v>
      </c>
      <c r="E1089" s="30"/>
      <c r="F1089" s="31"/>
      <c r="G1089" s="15" t="s">
        <v>57</v>
      </c>
      <c r="H1089" s="16" t="s">
        <v>55</v>
      </c>
    </row>
    <row r="1090" spans="2:8" s="1" customFormat="1" x14ac:dyDescent="0.15">
      <c r="B1090" s="32">
        <v>200216</v>
      </c>
      <c r="C1090" s="2" t="s">
        <v>2</v>
      </c>
      <c r="D1090" s="9">
        <f>ROUND(C12*880,0)</f>
        <v>9240</v>
      </c>
      <c r="E1090" s="3" t="s">
        <v>3</v>
      </c>
      <c r="F1090" s="11">
        <f>ROUND(C12*476,0)</f>
        <v>4998</v>
      </c>
      <c r="G1090" s="4" t="s">
        <v>8</v>
      </c>
      <c r="H1090" s="17" t="s">
        <v>30</v>
      </c>
    </row>
    <row r="1091" spans="2:8" s="1" customFormat="1" ht="13.5" customHeight="1" x14ac:dyDescent="0.15">
      <c r="B1091" s="33"/>
      <c r="C1091" s="5" t="s">
        <v>4</v>
      </c>
      <c r="D1091" s="9">
        <f>ROUND(C12*680,0)</f>
        <v>7140</v>
      </c>
      <c r="E1091" s="6" t="s">
        <v>5</v>
      </c>
      <c r="F1091" s="11">
        <f>ROUND(C12*880,0)</f>
        <v>9240</v>
      </c>
      <c r="G1091" s="35">
        <v>100</v>
      </c>
      <c r="H1091" s="17"/>
    </row>
    <row r="1092" spans="2:8" s="1" customFormat="1" ht="13.5" customHeight="1" x14ac:dyDescent="0.15">
      <c r="B1092" s="33"/>
      <c r="C1092" s="7" t="s">
        <v>6</v>
      </c>
      <c r="D1092" s="10">
        <v>7</v>
      </c>
      <c r="E1092" s="8" t="s">
        <v>7</v>
      </c>
      <c r="F1092" s="12">
        <f>ROUND(C12*507,0)</f>
        <v>5324</v>
      </c>
      <c r="G1092" s="36"/>
      <c r="H1092" s="17"/>
    </row>
    <row r="1093" spans="2:8" s="1" customFormat="1" ht="14.25" thickBot="1" x14ac:dyDescent="0.2">
      <c r="B1093" s="34"/>
      <c r="C1093" s="18" t="s">
        <v>16</v>
      </c>
      <c r="D1093" s="19" t="s">
        <v>54</v>
      </c>
      <c r="E1093" s="20" t="s">
        <v>17</v>
      </c>
      <c r="F1093" s="21" t="s">
        <v>421</v>
      </c>
      <c r="G1093" s="22" t="s">
        <v>20</v>
      </c>
      <c r="H1093" s="23" t="s">
        <v>37</v>
      </c>
    </row>
    <row r="1094" spans="2:8" s="1" customFormat="1" x14ac:dyDescent="0.15">
      <c r="B1094" s="13" t="s">
        <v>1</v>
      </c>
      <c r="C1094" s="14" t="s">
        <v>0</v>
      </c>
      <c r="D1094" s="29" t="s">
        <v>375</v>
      </c>
      <c r="E1094" s="30"/>
      <c r="F1094" s="31"/>
      <c r="G1094" s="15" t="s">
        <v>57</v>
      </c>
      <c r="H1094" s="16" t="s">
        <v>80</v>
      </c>
    </row>
    <row r="1095" spans="2:8" s="1" customFormat="1" x14ac:dyDescent="0.15">
      <c r="B1095" s="32">
        <v>200217</v>
      </c>
      <c r="C1095" s="2" t="s">
        <v>2</v>
      </c>
      <c r="D1095" s="9">
        <f>ROUND(C12*880,0)</f>
        <v>9240</v>
      </c>
      <c r="E1095" s="3" t="s">
        <v>3</v>
      </c>
      <c r="F1095" s="11">
        <f>ROUND(C12*980,0)</f>
        <v>10290</v>
      </c>
      <c r="G1095" s="4" t="s">
        <v>8</v>
      </c>
      <c r="H1095" s="17" t="s">
        <v>81</v>
      </c>
    </row>
    <row r="1096" spans="2:8" s="1" customFormat="1" ht="13.5" customHeight="1" x14ac:dyDescent="0.15">
      <c r="B1096" s="33"/>
      <c r="C1096" s="5" t="s">
        <v>4</v>
      </c>
      <c r="D1096" s="9">
        <f>ROUND(C12*680,0)</f>
        <v>7140</v>
      </c>
      <c r="E1096" s="6" t="s">
        <v>5</v>
      </c>
      <c r="F1096" s="11">
        <f>ROUND(C12*1936,0)</f>
        <v>20328</v>
      </c>
      <c r="G1096" s="35">
        <v>100</v>
      </c>
      <c r="H1096" s="17"/>
    </row>
    <row r="1097" spans="2:8" s="1" customFormat="1" ht="13.5" customHeight="1" x14ac:dyDescent="0.15">
      <c r="B1097" s="33"/>
      <c r="C1097" s="7" t="s">
        <v>6</v>
      </c>
      <c r="D1097" s="10">
        <v>4</v>
      </c>
      <c r="E1097" s="8" t="s">
        <v>7</v>
      </c>
      <c r="F1097" s="12">
        <f>ROUND(C12*449,0)</f>
        <v>4715</v>
      </c>
      <c r="G1097" s="36"/>
      <c r="H1097" s="17"/>
    </row>
    <row r="1098" spans="2:8" s="1" customFormat="1" ht="14.25" thickBot="1" x14ac:dyDescent="0.2">
      <c r="B1098" s="34"/>
      <c r="C1098" s="18" t="s">
        <v>16</v>
      </c>
      <c r="D1098" s="19" t="s">
        <v>294</v>
      </c>
      <c r="E1098" s="20" t="s">
        <v>17</v>
      </c>
      <c r="F1098" s="21" t="s">
        <v>113</v>
      </c>
      <c r="G1098" s="22" t="s">
        <v>20</v>
      </c>
      <c r="H1098" s="23" t="s">
        <v>37</v>
      </c>
    </row>
    <row r="1099" spans="2:8" s="1" customFormat="1" x14ac:dyDescent="0.15">
      <c r="B1099" s="13" t="s">
        <v>1</v>
      </c>
      <c r="C1099" s="14" t="s">
        <v>0</v>
      </c>
      <c r="D1099" s="29" t="s">
        <v>378</v>
      </c>
      <c r="E1099" s="30"/>
      <c r="F1099" s="31"/>
      <c r="G1099" s="15" t="s">
        <v>57</v>
      </c>
      <c r="H1099" s="16" t="s">
        <v>38</v>
      </c>
    </row>
    <row r="1100" spans="2:8" s="1" customFormat="1" x14ac:dyDescent="0.15">
      <c r="B1100" s="32">
        <v>200218</v>
      </c>
      <c r="C1100" s="2" t="s">
        <v>2</v>
      </c>
      <c r="D1100" s="9">
        <f>ROUND(C12*880,0)</f>
        <v>9240</v>
      </c>
      <c r="E1100" s="3" t="s">
        <v>3</v>
      </c>
      <c r="F1100" s="11">
        <f>ROUND(C12*476,0)</f>
        <v>4998</v>
      </c>
      <c r="G1100" s="4" t="s">
        <v>8</v>
      </c>
      <c r="H1100" s="17" t="s">
        <v>24</v>
      </c>
    </row>
    <row r="1101" spans="2:8" s="1" customFormat="1" ht="13.5" customHeight="1" x14ac:dyDescent="0.15">
      <c r="B1101" s="33"/>
      <c r="C1101" s="5" t="s">
        <v>4</v>
      </c>
      <c r="D1101" s="9">
        <f>ROUND(C12*680,0)</f>
        <v>7140</v>
      </c>
      <c r="E1101" s="6" t="s">
        <v>5</v>
      </c>
      <c r="F1101" s="11">
        <f>ROUND(C12*880,0)</f>
        <v>9240</v>
      </c>
      <c r="G1101" s="35">
        <v>50</v>
      </c>
      <c r="H1101" s="17"/>
    </row>
    <row r="1102" spans="2:8" s="1" customFormat="1" ht="13.5" customHeight="1" x14ac:dyDescent="0.15">
      <c r="B1102" s="33"/>
      <c r="C1102" s="7" t="s">
        <v>6</v>
      </c>
      <c r="D1102" s="10">
        <v>7</v>
      </c>
      <c r="E1102" s="8" t="s">
        <v>7</v>
      </c>
      <c r="F1102" s="12">
        <f>ROUND(C12*495,0)</f>
        <v>5198</v>
      </c>
      <c r="G1102" s="36"/>
      <c r="H1102" s="17"/>
    </row>
    <row r="1103" spans="2:8" s="1" customFormat="1" ht="14.25" thickBot="1" x14ac:dyDescent="0.2">
      <c r="B1103" s="34"/>
      <c r="C1103" s="18" t="s">
        <v>16</v>
      </c>
      <c r="D1103" s="19" t="s">
        <v>82</v>
      </c>
      <c r="E1103" s="20" t="s">
        <v>17</v>
      </c>
      <c r="F1103" s="21" t="s">
        <v>32</v>
      </c>
      <c r="G1103" s="22" t="s">
        <v>20</v>
      </c>
      <c r="H1103" s="23" t="s">
        <v>106</v>
      </c>
    </row>
    <row r="1104" spans="2:8" s="1" customFormat="1" x14ac:dyDescent="0.15">
      <c r="B1104" s="13" t="s">
        <v>1</v>
      </c>
      <c r="C1104" s="14" t="s">
        <v>0</v>
      </c>
      <c r="D1104" s="29" t="s">
        <v>379</v>
      </c>
      <c r="E1104" s="30"/>
      <c r="F1104" s="31"/>
      <c r="G1104" s="15" t="s">
        <v>57</v>
      </c>
      <c r="H1104" s="16" t="s">
        <v>341</v>
      </c>
    </row>
    <row r="1105" spans="2:8" s="1" customFormat="1" x14ac:dyDescent="0.15">
      <c r="B1105" s="32">
        <v>200219</v>
      </c>
      <c r="C1105" s="2" t="s">
        <v>2</v>
      </c>
      <c r="D1105" s="9">
        <f>ROUND(C12*880,0)</f>
        <v>9240</v>
      </c>
      <c r="E1105" s="3" t="s">
        <v>3</v>
      </c>
      <c r="F1105" s="11">
        <f>ROUND(C12*476,0)</f>
        <v>4998</v>
      </c>
      <c r="G1105" s="4" t="s">
        <v>8</v>
      </c>
      <c r="H1105" s="17" t="s">
        <v>144</v>
      </c>
    </row>
    <row r="1106" spans="2:8" s="1" customFormat="1" ht="13.5" customHeight="1" x14ac:dyDescent="0.15">
      <c r="B1106" s="33"/>
      <c r="C1106" s="5" t="s">
        <v>4</v>
      </c>
      <c r="D1106" s="9">
        <f>ROUND(C12*680,0)</f>
        <v>7140</v>
      </c>
      <c r="E1106" s="6" t="s">
        <v>5</v>
      </c>
      <c r="F1106" s="11">
        <f>ROUND(C12*880,0)</f>
        <v>9240</v>
      </c>
      <c r="G1106" s="35">
        <v>50</v>
      </c>
      <c r="H1106" s="17"/>
    </row>
    <row r="1107" spans="2:8" s="1" customFormat="1" ht="13.5" customHeight="1" x14ac:dyDescent="0.15">
      <c r="B1107" s="33"/>
      <c r="C1107" s="7" t="s">
        <v>6</v>
      </c>
      <c r="D1107" s="10">
        <v>7</v>
      </c>
      <c r="E1107" s="8" t="s">
        <v>7</v>
      </c>
      <c r="F1107" s="12">
        <f>ROUND(C12*496,0)</f>
        <v>5208</v>
      </c>
      <c r="G1107" s="36"/>
      <c r="H1107" s="17"/>
    </row>
    <row r="1108" spans="2:8" s="1" customFormat="1" ht="14.25" thickBot="1" x14ac:dyDescent="0.2">
      <c r="B1108" s="34"/>
      <c r="C1108" s="18" t="s">
        <v>16</v>
      </c>
      <c r="D1108" s="19" t="s">
        <v>85</v>
      </c>
      <c r="E1108" s="20" t="s">
        <v>17</v>
      </c>
      <c r="F1108" s="21" t="s">
        <v>405</v>
      </c>
      <c r="G1108" s="22" t="s">
        <v>20</v>
      </c>
      <c r="H1108" s="23" t="s">
        <v>349</v>
      </c>
    </row>
    <row r="1109" spans="2:8" s="1" customFormat="1" x14ac:dyDescent="0.15">
      <c r="B1109" s="13" t="s">
        <v>1</v>
      </c>
      <c r="C1109" s="14" t="s">
        <v>0</v>
      </c>
      <c r="D1109" s="29" t="s">
        <v>381</v>
      </c>
      <c r="E1109" s="30"/>
      <c r="F1109" s="31"/>
      <c r="G1109" s="15" t="s">
        <v>57</v>
      </c>
      <c r="H1109" s="16" t="s">
        <v>74</v>
      </c>
    </row>
    <row r="1110" spans="2:8" s="1" customFormat="1" x14ac:dyDescent="0.15">
      <c r="B1110" s="32">
        <v>200220</v>
      </c>
      <c r="C1110" s="2" t="s">
        <v>2</v>
      </c>
      <c r="D1110" s="9">
        <f>ROUND(C12*880,0)</f>
        <v>9240</v>
      </c>
      <c r="E1110" s="3" t="s">
        <v>3</v>
      </c>
      <c r="F1110" s="11">
        <f>ROUND(C12*980,0)</f>
        <v>10290</v>
      </c>
      <c r="G1110" s="4" t="s">
        <v>8</v>
      </c>
      <c r="H1110" s="17" t="s">
        <v>75</v>
      </c>
    </row>
    <row r="1111" spans="2:8" s="1" customFormat="1" ht="13.5" customHeight="1" x14ac:dyDescent="0.15">
      <c r="B1111" s="33"/>
      <c r="C1111" s="5" t="s">
        <v>4</v>
      </c>
      <c r="D1111" s="9">
        <f>ROUND(C12*680,0)</f>
        <v>7140</v>
      </c>
      <c r="E1111" s="6" t="s">
        <v>5</v>
      </c>
      <c r="F1111" s="11">
        <f>ROUND(C12*1936,0)</f>
        <v>20328</v>
      </c>
      <c r="G1111" s="35">
        <v>100</v>
      </c>
      <c r="H1111" s="17"/>
    </row>
    <row r="1112" spans="2:8" s="1" customFormat="1" ht="13.5" customHeight="1" x14ac:dyDescent="0.15">
      <c r="B1112" s="33"/>
      <c r="C1112" s="7" t="s">
        <v>6</v>
      </c>
      <c r="D1112" s="10">
        <v>4</v>
      </c>
      <c r="E1112" s="8" t="s">
        <v>7</v>
      </c>
      <c r="F1112" s="12">
        <f>ROUND(C12*405,0)</f>
        <v>4253</v>
      </c>
      <c r="G1112" s="36"/>
      <c r="H1112" s="17"/>
    </row>
    <row r="1113" spans="2:8" s="1" customFormat="1" ht="14.25" thickBot="1" x14ac:dyDescent="0.2">
      <c r="B1113" s="34"/>
      <c r="C1113" s="18" t="s">
        <v>16</v>
      </c>
      <c r="D1113" s="19" t="s">
        <v>71</v>
      </c>
      <c r="E1113" s="20" t="s">
        <v>17</v>
      </c>
      <c r="F1113" s="21" t="s">
        <v>33</v>
      </c>
      <c r="G1113" s="22" t="s">
        <v>20</v>
      </c>
      <c r="H1113" s="23" t="s">
        <v>37</v>
      </c>
    </row>
    <row r="1114" spans="2:8" s="1" customFormat="1" x14ac:dyDescent="0.15">
      <c r="B1114" s="13" t="s">
        <v>1</v>
      </c>
      <c r="C1114" s="14" t="s">
        <v>0</v>
      </c>
      <c r="D1114" s="29" t="s">
        <v>383</v>
      </c>
      <c r="E1114" s="30"/>
      <c r="F1114" s="31"/>
      <c r="G1114" s="15" t="s">
        <v>57</v>
      </c>
      <c r="H1114" s="16" t="s">
        <v>134</v>
      </c>
    </row>
    <row r="1115" spans="2:8" s="1" customFormat="1" x14ac:dyDescent="0.15">
      <c r="B1115" s="32">
        <v>200221</v>
      </c>
      <c r="C1115" s="2" t="s">
        <v>2</v>
      </c>
      <c r="D1115" s="9">
        <f>ROUND(C12*880,0)</f>
        <v>9240</v>
      </c>
      <c r="E1115" s="3" t="s">
        <v>3</v>
      </c>
      <c r="F1115" s="11">
        <f>ROUND(C12*476,0)</f>
        <v>4998</v>
      </c>
      <c r="G1115" s="4" t="s">
        <v>8</v>
      </c>
      <c r="H1115" s="17" t="s">
        <v>135</v>
      </c>
    </row>
    <row r="1116" spans="2:8" s="1" customFormat="1" ht="13.5" customHeight="1" x14ac:dyDescent="0.15">
      <c r="B1116" s="33"/>
      <c r="C1116" s="5" t="s">
        <v>4</v>
      </c>
      <c r="D1116" s="9">
        <f>ROUND(C12*680,0)</f>
        <v>7140</v>
      </c>
      <c r="E1116" s="6" t="s">
        <v>5</v>
      </c>
      <c r="F1116" s="11">
        <f>ROUND(C12*880,0)</f>
        <v>9240</v>
      </c>
      <c r="G1116" s="35">
        <v>50</v>
      </c>
      <c r="H1116" s="17"/>
    </row>
    <row r="1117" spans="2:8" s="1" customFormat="1" ht="13.5" customHeight="1" x14ac:dyDescent="0.15">
      <c r="B1117" s="33"/>
      <c r="C1117" s="7" t="s">
        <v>6</v>
      </c>
      <c r="D1117" s="10">
        <v>7</v>
      </c>
      <c r="E1117" s="8" t="s">
        <v>7</v>
      </c>
      <c r="F1117" s="12">
        <f>ROUND(C12*491,0)</f>
        <v>5156</v>
      </c>
      <c r="G1117" s="36"/>
      <c r="H1117" s="17"/>
    </row>
    <row r="1118" spans="2:8" s="1" customFormat="1" ht="14.25" thickBot="1" x14ac:dyDescent="0.2">
      <c r="B1118" s="34"/>
      <c r="C1118" s="18" t="s">
        <v>16</v>
      </c>
      <c r="D1118" s="19" t="s">
        <v>113</v>
      </c>
      <c r="E1118" s="20" t="s">
        <v>17</v>
      </c>
      <c r="F1118" s="21" t="s">
        <v>100</v>
      </c>
      <c r="G1118" s="22" t="s">
        <v>20</v>
      </c>
      <c r="H1118" s="23" t="s">
        <v>125</v>
      </c>
    </row>
    <row r="1119" spans="2:8" s="1" customFormat="1" x14ac:dyDescent="0.15">
      <c r="B1119" s="13" t="s">
        <v>1</v>
      </c>
      <c r="C1119" s="14" t="s">
        <v>0</v>
      </c>
      <c r="D1119" s="29" t="s">
        <v>384</v>
      </c>
      <c r="E1119" s="30"/>
      <c r="F1119" s="31"/>
      <c r="G1119" s="15" t="s">
        <v>57</v>
      </c>
      <c r="H1119" s="16" t="s">
        <v>163</v>
      </c>
    </row>
    <row r="1120" spans="2:8" s="1" customFormat="1" x14ac:dyDescent="0.15">
      <c r="B1120" s="32">
        <v>200222</v>
      </c>
      <c r="C1120" s="2" t="s">
        <v>2</v>
      </c>
      <c r="D1120" s="9">
        <f>ROUND(C12*880,0)</f>
        <v>9240</v>
      </c>
      <c r="E1120" s="3" t="s">
        <v>3</v>
      </c>
      <c r="F1120" s="11">
        <f>ROUND(C12*476,0)</f>
        <v>4998</v>
      </c>
      <c r="G1120" s="4" t="s">
        <v>8</v>
      </c>
      <c r="H1120" s="17" t="s">
        <v>164</v>
      </c>
    </row>
    <row r="1121" spans="2:8" s="1" customFormat="1" ht="13.5" customHeight="1" x14ac:dyDescent="0.15">
      <c r="B1121" s="33"/>
      <c r="C1121" s="5" t="s">
        <v>4</v>
      </c>
      <c r="D1121" s="9">
        <f>ROUND(C12*680,0)</f>
        <v>7140</v>
      </c>
      <c r="E1121" s="6" t="s">
        <v>5</v>
      </c>
      <c r="F1121" s="11">
        <f>ROUND(C12*880,0)</f>
        <v>9240</v>
      </c>
      <c r="G1121" s="35">
        <v>50</v>
      </c>
      <c r="H1121" s="17"/>
    </row>
    <row r="1122" spans="2:8" s="1" customFormat="1" ht="13.5" customHeight="1" x14ac:dyDescent="0.15">
      <c r="B1122" s="33"/>
      <c r="C1122" s="7" t="s">
        <v>6</v>
      </c>
      <c r="D1122" s="10">
        <v>7</v>
      </c>
      <c r="E1122" s="8" t="s">
        <v>7</v>
      </c>
      <c r="F1122" s="12">
        <f>ROUND(C12*428,0)</f>
        <v>4494</v>
      </c>
      <c r="G1122" s="36"/>
      <c r="H1122" s="17"/>
    </row>
    <row r="1123" spans="2:8" s="1" customFormat="1" ht="14.25" thickBot="1" x14ac:dyDescent="0.2">
      <c r="B1123" s="34"/>
      <c r="C1123" s="18" t="s">
        <v>16</v>
      </c>
      <c r="D1123" s="19" t="s">
        <v>293</v>
      </c>
      <c r="E1123" s="20" t="s">
        <v>17</v>
      </c>
      <c r="F1123" s="21" t="s">
        <v>51</v>
      </c>
      <c r="G1123" s="22" t="s">
        <v>20</v>
      </c>
      <c r="H1123" s="23" t="s">
        <v>37</v>
      </c>
    </row>
    <row r="1124" spans="2:8" s="1" customFormat="1" x14ac:dyDescent="0.15">
      <c r="B1124" s="13" t="s">
        <v>1</v>
      </c>
      <c r="C1124" s="14" t="s">
        <v>0</v>
      </c>
      <c r="D1124" s="29" t="s">
        <v>385</v>
      </c>
      <c r="E1124" s="30"/>
      <c r="F1124" s="31"/>
      <c r="G1124" s="15" t="s">
        <v>57</v>
      </c>
      <c r="H1124" s="16" t="s">
        <v>80</v>
      </c>
    </row>
    <row r="1125" spans="2:8" s="1" customFormat="1" x14ac:dyDescent="0.15">
      <c r="B1125" s="32">
        <v>200223</v>
      </c>
      <c r="C1125" s="2" t="s">
        <v>2</v>
      </c>
      <c r="D1125" s="9">
        <f>ROUND(C12*880,0)</f>
        <v>9240</v>
      </c>
      <c r="E1125" s="3" t="s">
        <v>3</v>
      </c>
      <c r="F1125" s="11">
        <f>ROUND(C12*476,0)</f>
        <v>4998</v>
      </c>
      <c r="G1125" s="4" t="s">
        <v>8</v>
      </c>
      <c r="H1125" s="17" t="s">
        <v>81</v>
      </c>
    </row>
    <row r="1126" spans="2:8" s="1" customFormat="1" ht="13.5" customHeight="1" x14ac:dyDescent="0.15">
      <c r="B1126" s="33"/>
      <c r="C1126" s="5" t="s">
        <v>4</v>
      </c>
      <c r="D1126" s="9">
        <f>ROUND(C12*680,0)</f>
        <v>7140</v>
      </c>
      <c r="E1126" s="6" t="s">
        <v>5</v>
      </c>
      <c r="F1126" s="11">
        <f>ROUND(C12*880,0)</f>
        <v>9240</v>
      </c>
      <c r="G1126" s="35">
        <v>100</v>
      </c>
      <c r="H1126" s="17"/>
    </row>
    <row r="1127" spans="2:8" s="1" customFormat="1" ht="13.5" customHeight="1" x14ac:dyDescent="0.15">
      <c r="B1127" s="33"/>
      <c r="C1127" s="7" t="s">
        <v>6</v>
      </c>
      <c r="D1127" s="10">
        <v>7</v>
      </c>
      <c r="E1127" s="8" t="s">
        <v>7</v>
      </c>
      <c r="F1127" s="12">
        <f>ROUND(C12*444,0)</f>
        <v>4662</v>
      </c>
      <c r="G1127" s="36"/>
      <c r="H1127" s="17"/>
    </row>
    <row r="1128" spans="2:8" s="1" customFormat="1" ht="14.25" thickBot="1" x14ac:dyDescent="0.2">
      <c r="B1128" s="34"/>
      <c r="C1128" s="18" t="s">
        <v>16</v>
      </c>
      <c r="D1128" s="19" t="s">
        <v>51</v>
      </c>
      <c r="E1128" s="20" t="s">
        <v>17</v>
      </c>
      <c r="F1128" s="21" t="s">
        <v>100</v>
      </c>
      <c r="G1128" s="22" t="s">
        <v>20</v>
      </c>
      <c r="H1128" s="23" t="s">
        <v>37</v>
      </c>
    </row>
    <row r="1129" spans="2:8" s="1" customFormat="1" x14ac:dyDescent="0.15">
      <c r="B1129" s="13" t="s">
        <v>1</v>
      </c>
      <c r="C1129" s="14" t="s">
        <v>0</v>
      </c>
      <c r="D1129" s="29" t="s">
        <v>386</v>
      </c>
      <c r="E1129" s="30"/>
      <c r="F1129" s="31"/>
      <c r="G1129" s="15" t="s">
        <v>57</v>
      </c>
      <c r="H1129" s="16" t="s">
        <v>131</v>
      </c>
    </row>
    <row r="1130" spans="2:8" s="1" customFormat="1" x14ac:dyDescent="0.15">
      <c r="B1130" s="32">
        <v>200224</v>
      </c>
      <c r="C1130" s="2" t="s">
        <v>2</v>
      </c>
      <c r="D1130" s="9">
        <f>ROUND(C12*880,0)</f>
        <v>9240</v>
      </c>
      <c r="E1130" s="3" t="s">
        <v>3</v>
      </c>
      <c r="F1130" s="11">
        <f>ROUND(C12*476,0)</f>
        <v>4998</v>
      </c>
      <c r="G1130" s="4" t="s">
        <v>8</v>
      </c>
      <c r="H1130" s="17" t="s">
        <v>132</v>
      </c>
    </row>
    <row r="1131" spans="2:8" s="1" customFormat="1" ht="13.5" customHeight="1" x14ac:dyDescent="0.15">
      <c r="B1131" s="33"/>
      <c r="C1131" s="5" t="s">
        <v>4</v>
      </c>
      <c r="D1131" s="9">
        <f>ROUND(C12*680,0)</f>
        <v>7140</v>
      </c>
      <c r="E1131" s="6" t="s">
        <v>5</v>
      </c>
      <c r="F1131" s="11">
        <f>ROUND(C12*880,0)</f>
        <v>9240</v>
      </c>
      <c r="G1131" s="35">
        <v>100</v>
      </c>
      <c r="H1131" s="17"/>
    </row>
    <row r="1132" spans="2:8" s="1" customFormat="1" ht="13.5" customHeight="1" x14ac:dyDescent="0.15">
      <c r="B1132" s="33"/>
      <c r="C1132" s="7" t="s">
        <v>6</v>
      </c>
      <c r="D1132" s="10">
        <v>7</v>
      </c>
      <c r="E1132" s="8" t="s">
        <v>7</v>
      </c>
      <c r="F1132" s="12">
        <f>ROUND(C12*412,0)</f>
        <v>4326</v>
      </c>
      <c r="G1132" s="36"/>
      <c r="H1132" s="17"/>
    </row>
    <row r="1133" spans="2:8" s="1" customFormat="1" ht="14.25" thickBot="1" x14ac:dyDescent="0.2">
      <c r="B1133" s="34"/>
      <c r="C1133" s="18" t="s">
        <v>16</v>
      </c>
      <c r="D1133" s="19" t="s">
        <v>52</v>
      </c>
      <c r="E1133" s="20" t="s">
        <v>17</v>
      </c>
      <c r="F1133" s="21" t="s">
        <v>82</v>
      </c>
      <c r="G1133" s="22" t="s">
        <v>20</v>
      </c>
      <c r="H1133" s="23" t="s">
        <v>37</v>
      </c>
    </row>
    <row r="1134" spans="2:8" s="1" customFormat="1" x14ac:dyDescent="0.15">
      <c r="B1134" s="13" t="s">
        <v>1</v>
      </c>
      <c r="C1134" s="14" t="s">
        <v>0</v>
      </c>
      <c r="D1134" s="29" t="s">
        <v>387</v>
      </c>
      <c r="E1134" s="30"/>
      <c r="F1134" s="31"/>
      <c r="G1134" s="15" t="s">
        <v>57</v>
      </c>
      <c r="H1134" s="16" t="s">
        <v>91</v>
      </c>
    </row>
    <row r="1135" spans="2:8" s="1" customFormat="1" x14ac:dyDescent="0.15">
      <c r="B1135" s="32">
        <v>200228</v>
      </c>
      <c r="C1135" s="2" t="s">
        <v>2</v>
      </c>
      <c r="D1135" s="9">
        <f>ROUND(C12*880,0)</f>
        <v>9240</v>
      </c>
      <c r="E1135" s="3" t="s">
        <v>3</v>
      </c>
      <c r="F1135" s="11">
        <f>ROUND(C12*980,0)</f>
        <v>10290</v>
      </c>
      <c r="G1135" s="4" t="s">
        <v>8</v>
      </c>
      <c r="H1135" s="17" t="s">
        <v>92</v>
      </c>
    </row>
    <row r="1136" spans="2:8" s="1" customFormat="1" ht="13.5" customHeight="1" x14ac:dyDescent="0.15">
      <c r="B1136" s="33"/>
      <c r="C1136" s="5" t="s">
        <v>4</v>
      </c>
      <c r="D1136" s="9">
        <f>ROUND(C12*680,0)</f>
        <v>7140</v>
      </c>
      <c r="E1136" s="6" t="s">
        <v>5</v>
      </c>
      <c r="F1136" s="11">
        <f>ROUND(C12*1936,0)</f>
        <v>20328</v>
      </c>
      <c r="G1136" s="35">
        <v>100</v>
      </c>
      <c r="H1136" s="17"/>
    </row>
    <row r="1137" spans="2:8" s="1" customFormat="1" ht="13.5" customHeight="1" x14ac:dyDescent="0.15">
      <c r="B1137" s="33"/>
      <c r="C1137" s="7" t="s">
        <v>6</v>
      </c>
      <c r="D1137" s="10">
        <v>4</v>
      </c>
      <c r="E1137" s="8" t="s">
        <v>7</v>
      </c>
      <c r="F1137" s="12">
        <f>ROUND(C12*444,0)</f>
        <v>4662</v>
      </c>
      <c r="G1137" s="36"/>
      <c r="H1137" s="17"/>
    </row>
    <row r="1138" spans="2:8" s="1" customFormat="1" ht="14.25" thickBot="1" x14ac:dyDescent="0.2">
      <c r="B1138" s="34"/>
      <c r="C1138" s="18" t="s">
        <v>16</v>
      </c>
      <c r="D1138" s="19" t="s">
        <v>36</v>
      </c>
      <c r="E1138" s="20" t="s">
        <v>17</v>
      </c>
      <c r="F1138" s="21" t="s">
        <v>32</v>
      </c>
      <c r="G1138" s="22" t="s">
        <v>20</v>
      </c>
      <c r="H1138" s="23" t="s">
        <v>37</v>
      </c>
    </row>
    <row r="1139" spans="2:8" s="1" customFormat="1" x14ac:dyDescent="0.15">
      <c r="B1139" s="13" t="s">
        <v>1</v>
      </c>
      <c r="C1139" s="14" t="s">
        <v>0</v>
      </c>
      <c r="D1139" s="29" t="s">
        <v>388</v>
      </c>
      <c r="E1139" s="30"/>
      <c r="F1139" s="31"/>
      <c r="G1139" s="15" t="s">
        <v>57</v>
      </c>
      <c r="H1139" s="16" t="s">
        <v>41</v>
      </c>
    </row>
    <row r="1140" spans="2:8" s="1" customFormat="1" x14ac:dyDescent="0.15">
      <c r="B1140" s="32">
        <v>200229</v>
      </c>
      <c r="C1140" s="2" t="s">
        <v>2</v>
      </c>
      <c r="D1140" s="9">
        <f>ROUND(C12*880,0)</f>
        <v>9240</v>
      </c>
      <c r="E1140" s="3" t="s">
        <v>3</v>
      </c>
      <c r="F1140" s="11">
        <f>ROUND(C12*980,0)</f>
        <v>10290</v>
      </c>
      <c r="G1140" s="4" t="s">
        <v>8</v>
      </c>
      <c r="H1140" s="17" t="s">
        <v>25</v>
      </c>
    </row>
    <row r="1141" spans="2:8" s="1" customFormat="1" ht="13.5" customHeight="1" x14ac:dyDescent="0.15">
      <c r="B1141" s="33"/>
      <c r="C1141" s="5" t="s">
        <v>4</v>
      </c>
      <c r="D1141" s="9">
        <f>ROUND(C12*680,0)</f>
        <v>7140</v>
      </c>
      <c r="E1141" s="6" t="s">
        <v>5</v>
      </c>
      <c r="F1141" s="11">
        <f>ROUND(C12*1936,0)</f>
        <v>20328</v>
      </c>
      <c r="G1141" s="35">
        <v>100</v>
      </c>
      <c r="H1141" s="17"/>
    </row>
    <row r="1142" spans="2:8" s="1" customFormat="1" ht="13.5" customHeight="1" x14ac:dyDescent="0.15">
      <c r="B1142" s="33"/>
      <c r="C1142" s="7" t="s">
        <v>6</v>
      </c>
      <c r="D1142" s="10">
        <v>4</v>
      </c>
      <c r="E1142" s="8" t="s">
        <v>7</v>
      </c>
      <c r="F1142" s="12">
        <f>ROUND(C12*412,0)</f>
        <v>4326</v>
      </c>
      <c r="G1142" s="36"/>
      <c r="H1142" s="17"/>
    </row>
    <row r="1143" spans="2:8" s="1" customFormat="1" ht="14.25" thickBot="1" x14ac:dyDescent="0.2">
      <c r="B1143" s="34"/>
      <c r="C1143" s="18" t="s">
        <v>16</v>
      </c>
      <c r="D1143" s="19" t="s">
        <v>100</v>
      </c>
      <c r="E1143" s="20" t="s">
        <v>17</v>
      </c>
      <c r="F1143" s="21" t="s">
        <v>36</v>
      </c>
      <c r="G1143" s="22" t="s">
        <v>20</v>
      </c>
      <c r="H1143" s="23" t="s">
        <v>37</v>
      </c>
    </row>
  </sheetData>
  <mergeCells count="682">
    <mergeCell ref="J13:M13"/>
    <mergeCell ref="D19:F19"/>
    <mergeCell ref="B20:B23"/>
    <mergeCell ref="G21:G22"/>
    <mergeCell ref="D24:F24"/>
    <mergeCell ref="B25:B28"/>
    <mergeCell ref="G26:G27"/>
    <mergeCell ref="D6:F6"/>
    <mergeCell ref="B7:B10"/>
    <mergeCell ref="G8:G9"/>
    <mergeCell ref="D14:F14"/>
    <mergeCell ref="B15:B18"/>
    <mergeCell ref="G16:G17"/>
    <mergeCell ref="D39:F39"/>
    <mergeCell ref="B40:B43"/>
    <mergeCell ref="G41:G42"/>
    <mergeCell ref="D44:F44"/>
    <mergeCell ref="B45:B48"/>
    <mergeCell ref="G46:G47"/>
    <mergeCell ref="D29:F29"/>
    <mergeCell ref="B30:B33"/>
    <mergeCell ref="G31:G32"/>
    <mergeCell ref="D34:F34"/>
    <mergeCell ref="B35:B38"/>
    <mergeCell ref="G36:G37"/>
    <mergeCell ref="D59:F59"/>
    <mergeCell ref="B60:B63"/>
    <mergeCell ref="G61:G62"/>
    <mergeCell ref="D64:F64"/>
    <mergeCell ref="B65:B68"/>
    <mergeCell ref="G66:G67"/>
    <mergeCell ref="D49:F49"/>
    <mergeCell ref="B50:B53"/>
    <mergeCell ref="G51:G52"/>
    <mergeCell ref="D54:F54"/>
    <mergeCell ref="B55:B58"/>
    <mergeCell ref="G56:G57"/>
    <mergeCell ref="D79:F79"/>
    <mergeCell ref="B80:B83"/>
    <mergeCell ref="G81:G82"/>
    <mergeCell ref="D84:F84"/>
    <mergeCell ref="B85:B88"/>
    <mergeCell ref="G86:G87"/>
    <mergeCell ref="D69:F69"/>
    <mergeCell ref="B70:B73"/>
    <mergeCell ref="G71:G72"/>
    <mergeCell ref="D74:F74"/>
    <mergeCell ref="B75:B78"/>
    <mergeCell ref="G76:G77"/>
    <mergeCell ref="D99:F99"/>
    <mergeCell ref="B100:B103"/>
    <mergeCell ref="G101:G102"/>
    <mergeCell ref="D104:F104"/>
    <mergeCell ref="B105:B108"/>
    <mergeCell ref="G106:G107"/>
    <mergeCell ref="D89:F89"/>
    <mergeCell ref="B90:B93"/>
    <mergeCell ref="G91:G92"/>
    <mergeCell ref="D94:F94"/>
    <mergeCell ref="B95:B98"/>
    <mergeCell ref="G96:G97"/>
    <mergeCell ref="D119:F119"/>
    <mergeCell ref="B120:B123"/>
    <mergeCell ref="G121:G122"/>
    <mergeCell ref="D124:F124"/>
    <mergeCell ref="B125:B128"/>
    <mergeCell ref="G126:G127"/>
    <mergeCell ref="D109:F109"/>
    <mergeCell ref="B110:B113"/>
    <mergeCell ref="G111:G112"/>
    <mergeCell ref="D114:F114"/>
    <mergeCell ref="B115:B118"/>
    <mergeCell ref="G116:G117"/>
    <mergeCell ref="D139:F139"/>
    <mergeCell ref="B140:B143"/>
    <mergeCell ref="G141:G142"/>
    <mergeCell ref="D144:F144"/>
    <mergeCell ref="B145:B148"/>
    <mergeCell ref="G146:G147"/>
    <mergeCell ref="D129:F129"/>
    <mergeCell ref="B130:B133"/>
    <mergeCell ref="G131:G132"/>
    <mergeCell ref="D134:F134"/>
    <mergeCell ref="B135:B138"/>
    <mergeCell ref="G136:G137"/>
    <mergeCell ref="D159:F159"/>
    <mergeCell ref="B160:B163"/>
    <mergeCell ref="G161:G162"/>
    <mergeCell ref="D164:F164"/>
    <mergeCell ref="B165:B168"/>
    <mergeCell ref="G166:G167"/>
    <mergeCell ref="D149:F149"/>
    <mergeCell ref="B150:B153"/>
    <mergeCell ref="G151:G152"/>
    <mergeCell ref="D154:F154"/>
    <mergeCell ref="B155:B158"/>
    <mergeCell ref="G156:G157"/>
    <mergeCell ref="D179:F179"/>
    <mergeCell ref="B180:B183"/>
    <mergeCell ref="G181:G182"/>
    <mergeCell ref="D184:F184"/>
    <mergeCell ref="B185:B188"/>
    <mergeCell ref="G186:G187"/>
    <mergeCell ref="D169:F169"/>
    <mergeCell ref="B170:B173"/>
    <mergeCell ref="G171:G172"/>
    <mergeCell ref="D174:F174"/>
    <mergeCell ref="B175:B178"/>
    <mergeCell ref="G176:G177"/>
    <mergeCell ref="D199:F199"/>
    <mergeCell ref="B200:B203"/>
    <mergeCell ref="G201:G202"/>
    <mergeCell ref="D204:F204"/>
    <mergeCell ref="B205:B208"/>
    <mergeCell ref="G206:G207"/>
    <mergeCell ref="D189:F189"/>
    <mergeCell ref="B190:B193"/>
    <mergeCell ref="G191:G192"/>
    <mergeCell ref="D194:F194"/>
    <mergeCell ref="B195:B198"/>
    <mergeCell ref="G196:G197"/>
    <mergeCell ref="D219:F219"/>
    <mergeCell ref="B220:B223"/>
    <mergeCell ref="G221:G222"/>
    <mergeCell ref="D224:F224"/>
    <mergeCell ref="B225:B228"/>
    <mergeCell ref="G226:G227"/>
    <mergeCell ref="D209:F209"/>
    <mergeCell ref="B210:B213"/>
    <mergeCell ref="G211:G212"/>
    <mergeCell ref="D214:F214"/>
    <mergeCell ref="B215:B218"/>
    <mergeCell ref="G216:G217"/>
    <mergeCell ref="D239:F239"/>
    <mergeCell ref="B240:B243"/>
    <mergeCell ref="G241:G242"/>
    <mergeCell ref="D244:F244"/>
    <mergeCell ref="B245:B248"/>
    <mergeCell ref="G246:G247"/>
    <mergeCell ref="D229:F229"/>
    <mergeCell ref="B230:B233"/>
    <mergeCell ref="G231:G232"/>
    <mergeCell ref="D234:F234"/>
    <mergeCell ref="B235:B238"/>
    <mergeCell ref="G236:G237"/>
    <mergeCell ref="D259:F259"/>
    <mergeCell ref="B260:B263"/>
    <mergeCell ref="G261:G262"/>
    <mergeCell ref="D264:F264"/>
    <mergeCell ref="B265:B268"/>
    <mergeCell ref="G266:G267"/>
    <mergeCell ref="D249:F249"/>
    <mergeCell ref="B250:B253"/>
    <mergeCell ref="G251:G252"/>
    <mergeCell ref="D254:F254"/>
    <mergeCell ref="B255:B258"/>
    <mergeCell ref="G256:G257"/>
    <mergeCell ref="D279:F279"/>
    <mergeCell ref="B280:B283"/>
    <mergeCell ref="G281:G282"/>
    <mergeCell ref="D284:F284"/>
    <mergeCell ref="B285:B288"/>
    <mergeCell ref="G286:G287"/>
    <mergeCell ref="D269:F269"/>
    <mergeCell ref="B270:B273"/>
    <mergeCell ref="G271:G272"/>
    <mergeCell ref="D274:F274"/>
    <mergeCell ref="B275:B278"/>
    <mergeCell ref="G276:G277"/>
    <mergeCell ref="D299:F299"/>
    <mergeCell ref="B300:B303"/>
    <mergeCell ref="G301:G302"/>
    <mergeCell ref="D304:F304"/>
    <mergeCell ref="B305:B308"/>
    <mergeCell ref="G306:G307"/>
    <mergeCell ref="D289:F289"/>
    <mergeCell ref="B290:B293"/>
    <mergeCell ref="G291:G292"/>
    <mergeCell ref="D294:F294"/>
    <mergeCell ref="B295:B298"/>
    <mergeCell ref="G296:G297"/>
    <mergeCell ref="D319:F319"/>
    <mergeCell ref="B320:B323"/>
    <mergeCell ref="G321:G322"/>
    <mergeCell ref="D324:F324"/>
    <mergeCell ref="B325:B328"/>
    <mergeCell ref="G326:G327"/>
    <mergeCell ref="D309:F309"/>
    <mergeCell ref="B310:B313"/>
    <mergeCell ref="G311:G312"/>
    <mergeCell ref="D314:F314"/>
    <mergeCell ref="B315:B318"/>
    <mergeCell ref="G316:G317"/>
    <mergeCell ref="D339:F339"/>
    <mergeCell ref="B340:B343"/>
    <mergeCell ref="G341:G342"/>
    <mergeCell ref="D344:F344"/>
    <mergeCell ref="B345:B348"/>
    <mergeCell ref="G346:G347"/>
    <mergeCell ref="D329:F329"/>
    <mergeCell ref="B330:B333"/>
    <mergeCell ref="G331:G332"/>
    <mergeCell ref="D334:F334"/>
    <mergeCell ref="B335:B338"/>
    <mergeCell ref="G336:G337"/>
    <mergeCell ref="D359:F359"/>
    <mergeCell ref="B360:B363"/>
    <mergeCell ref="G361:G362"/>
    <mergeCell ref="D364:F364"/>
    <mergeCell ref="B365:B368"/>
    <mergeCell ref="G366:G367"/>
    <mergeCell ref="D349:F349"/>
    <mergeCell ref="B350:B353"/>
    <mergeCell ref="G351:G352"/>
    <mergeCell ref="D354:F354"/>
    <mergeCell ref="B355:B358"/>
    <mergeCell ref="G356:G357"/>
    <mergeCell ref="D379:F379"/>
    <mergeCell ref="B380:B383"/>
    <mergeCell ref="G381:G382"/>
    <mergeCell ref="D384:F384"/>
    <mergeCell ref="B385:B388"/>
    <mergeCell ref="G386:G387"/>
    <mergeCell ref="D369:F369"/>
    <mergeCell ref="B370:B373"/>
    <mergeCell ref="G371:G372"/>
    <mergeCell ref="D374:F374"/>
    <mergeCell ref="B375:B378"/>
    <mergeCell ref="G376:G377"/>
    <mergeCell ref="D399:F399"/>
    <mergeCell ref="B400:B403"/>
    <mergeCell ref="G401:G402"/>
    <mergeCell ref="D404:F404"/>
    <mergeCell ref="B405:B408"/>
    <mergeCell ref="G406:G407"/>
    <mergeCell ref="D389:F389"/>
    <mergeCell ref="B390:B393"/>
    <mergeCell ref="G391:G392"/>
    <mergeCell ref="D394:F394"/>
    <mergeCell ref="B395:B398"/>
    <mergeCell ref="G396:G397"/>
    <mergeCell ref="D419:F419"/>
    <mergeCell ref="B420:B423"/>
    <mergeCell ref="G421:G422"/>
    <mergeCell ref="D424:F424"/>
    <mergeCell ref="B425:B428"/>
    <mergeCell ref="G426:G427"/>
    <mergeCell ref="D409:F409"/>
    <mergeCell ref="B410:B413"/>
    <mergeCell ref="G411:G412"/>
    <mergeCell ref="D414:F414"/>
    <mergeCell ref="B415:B418"/>
    <mergeCell ref="G416:G417"/>
    <mergeCell ref="D439:F439"/>
    <mergeCell ref="B440:B443"/>
    <mergeCell ref="G441:G442"/>
    <mergeCell ref="D444:F444"/>
    <mergeCell ref="B445:B448"/>
    <mergeCell ref="G446:G447"/>
    <mergeCell ref="D429:F429"/>
    <mergeCell ref="B430:B433"/>
    <mergeCell ref="G431:G432"/>
    <mergeCell ref="D434:F434"/>
    <mergeCell ref="B435:B438"/>
    <mergeCell ref="G436:G437"/>
    <mergeCell ref="D459:F459"/>
    <mergeCell ref="B460:B463"/>
    <mergeCell ref="G461:G462"/>
    <mergeCell ref="D464:F464"/>
    <mergeCell ref="B465:B468"/>
    <mergeCell ref="G466:G467"/>
    <mergeCell ref="D449:F449"/>
    <mergeCell ref="B450:B453"/>
    <mergeCell ref="G451:G452"/>
    <mergeCell ref="D454:F454"/>
    <mergeCell ref="B455:B458"/>
    <mergeCell ref="G456:G457"/>
    <mergeCell ref="D479:F479"/>
    <mergeCell ref="B480:B483"/>
    <mergeCell ref="G481:G482"/>
    <mergeCell ref="D484:F484"/>
    <mergeCell ref="B485:B488"/>
    <mergeCell ref="G486:G487"/>
    <mergeCell ref="D469:F469"/>
    <mergeCell ref="B470:B473"/>
    <mergeCell ref="G471:G472"/>
    <mergeCell ref="D474:F474"/>
    <mergeCell ref="B475:B478"/>
    <mergeCell ref="G476:G477"/>
    <mergeCell ref="D499:F499"/>
    <mergeCell ref="B500:B503"/>
    <mergeCell ref="G501:G502"/>
    <mergeCell ref="D504:F504"/>
    <mergeCell ref="B505:B508"/>
    <mergeCell ref="G506:G507"/>
    <mergeCell ref="D489:F489"/>
    <mergeCell ref="B490:B493"/>
    <mergeCell ref="G491:G492"/>
    <mergeCell ref="D494:F494"/>
    <mergeCell ref="B495:B498"/>
    <mergeCell ref="G496:G497"/>
    <mergeCell ref="D519:F519"/>
    <mergeCell ref="B520:B523"/>
    <mergeCell ref="G521:G522"/>
    <mergeCell ref="D524:F524"/>
    <mergeCell ref="B525:B528"/>
    <mergeCell ref="G526:G527"/>
    <mergeCell ref="D509:F509"/>
    <mergeCell ref="B510:B513"/>
    <mergeCell ref="G511:G512"/>
    <mergeCell ref="D514:F514"/>
    <mergeCell ref="B515:B518"/>
    <mergeCell ref="G516:G517"/>
    <mergeCell ref="D539:F539"/>
    <mergeCell ref="B540:B543"/>
    <mergeCell ref="G541:G542"/>
    <mergeCell ref="D544:F544"/>
    <mergeCell ref="B545:B548"/>
    <mergeCell ref="G546:G547"/>
    <mergeCell ref="D529:F529"/>
    <mergeCell ref="B530:B533"/>
    <mergeCell ref="G531:G532"/>
    <mergeCell ref="D534:F534"/>
    <mergeCell ref="B535:B538"/>
    <mergeCell ref="G536:G537"/>
    <mergeCell ref="D559:F559"/>
    <mergeCell ref="B560:B563"/>
    <mergeCell ref="G561:G562"/>
    <mergeCell ref="D564:F564"/>
    <mergeCell ref="B565:B568"/>
    <mergeCell ref="G566:G567"/>
    <mergeCell ref="D549:F549"/>
    <mergeCell ref="B550:B553"/>
    <mergeCell ref="G551:G552"/>
    <mergeCell ref="D554:F554"/>
    <mergeCell ref="B555:B558"/>
    <mergeCell ref="G556:G557"/>
    <mergeCell ref="D579:F579"/>
    <mergeCell ref="B580:B583"/>
    <mergeCell ref="G581:G582"/>
    <mergeCell ref="D584:F584"/>
    <mergeCell ref="B585:B588"/>
    <mergeCell ref="G586:G587"/>
    <mergeCell ref="D569:F569"/>
    <mergeCell ref="B570:B573"/>
    <mergeCell ref="G571:G572"/>
    <mergeCell ref="D574:F574"/>
    <mergeCell ref="B575:B578"/>
    <mergeCell ref="G576:G577"/>
    <mergeCell ref="D599:F599"/>
    <mergeCell ref="B600:B603"/>
    <mergeCell ref="G601:G602"/>
    <mergeCell ref="D604:F604"/>
    <mergeCell ref="B605:B608"/>
    <mergeCell ref="G606:G607"/>
    <mergeCell ref="D589:F589"/>
    <mergeCell ref="B590:B593"/>
    <mergeCell ref="G591:G592"/>
    <mergeCell ref="D594:F594"/>
    <mergeCell ref="B595:B598"/>
    <mergeCell ref="G596:G597"/>
    <mergeCell ref="D619:F619"/>
    <mergeCell ref="B620:B623"/>
    <mergeCell ref="G621:G622"/>
    <mergeCell ref="D624:F624"/>
    <mergeCell ref="B625:B628"/>
    <mergeCell ref="G626:G627"/>
    <mergeCell ref="D609:F609"/>
    <mergeCell ref="B610:B613"/>
    <mergeCell ref="G611:G612"/>
    <mergeCell ref="D614:F614"/>
    <mergeCell ref="B615:B618"/>
    <mergeCell ref="G616:G617"/>
    <mergeCell ref="D639:F639"/>
    <mergeCell ref="B640:B643"/>
    <mergeCell ref="G641:G642"/>
    <mergeCell ref="D644:F644"/>
    <mergeCell ref="B645:B648"/>
    <mergeCell ref="G646:G647"/>
    <mergeCell ref="D629:F629"/>
    <mergeCell ref="B630:B633"/>
    <mergeCell ref="G631:G632"/>
    <mergeCell ref="D634:F634"/>
    <mergeCell ref="B635:B638"/>
    <mergeCell ref="G636:G637"/>
    <mergeCell ref="D659:F659"/>
    <mergeCell ref="B660:B663"/>
    <mergeCell ref="G661:G662"/>
    <mergeCell ref="D664:F664"/>
    <mergeCell ref="B665:B668"/>
    <mergeCell ref="G666:G667"/>
    <mergeCell ref="D649:F649"/>
    <mergeCell ref="B650:B653"/>
    <mergeCell ref="G651:G652"/>
    <mergeCell ref="D654:F654"/>
    <mergeCell ref="B655:B658"/>
    <mergeCell ref="G656:G657"/>
    <mergeCell ref="D679:F679"/>
    <mergeCell ref="B680:B683"/>
    <mergeCell ref="G681:G682"/>
    <mergeCell ref="D684:F684"/>
    <mergeCell ref="B685:B688"/>
    <mergeCell ref="G686:G687"/>
    <mergeCell ref="D669:F669"/>
    <mergeCell ref="B670:B673"/>
    <mergeCell ref="G671:G672"/>
    <mergeCell ref="D674:F674"/>
    <mergeCell ref="B675:B678"/>
    <mergeCell ref="G676:G677"/>
    <mergeCell ref="D699:F699"/>
    <mergeCell ref="B700:B703"/>
    <mergeCell ref="G701:G702"/>
    <mergeCell ref="D704:F704"/>
    <mergeCell ref="B705:B708"/>
    <mergeCell ref="G706:G707"/>
    <mergeCell ref="D689:F689"/>
    <mergeCell ref="B690:B693"/>
    <mergeCell ref="G691:G692"/>
    <mergeCell ref="D694:F694"/>
    <mergeCell ref="B695:B698"/>
    <mergeCell ref="G696:G697"/>
    <mergeCell ref="D719:F719"/>
    <mergeCell ref="B720:B723"/>
    <mergeCell ref="G721:G722"/>
    <mergeCell ref="D724:F724"/>
    <mergeCell ref="B725:B728"/>
    <mergeCell ref="G726:G727"/>
    <mergeCell ref="D709:F709"/>
    <mergeCell ref="B710:B713"/>
    <mergeCell ref="G711:G712"/>
    <mergeCell ref="D714:F714"/>
    <mergeCell ref="B715:B718"/>
    <mergeCell ref="G716:G717"/>
    <mergeCell ref="D739:F739"/>
    <mergeCell ref="B740:B743"/>
    <mergeCell ref="G741:G742"/>
    <mergeCell ref="D744:F744"/>
    <mergeCell ref="B745:B748"/>
    <mergeCell ref="G746:G747"/>
    <mergeCell ref="D729:F729"/>
    <mergeCell ref="B730:B733"/>
    <mergeCell ref="G731:G732"/>
    <mergeCell ref="D734:F734"/>
    <mergeCell ref="B735:B738"/>
    <mergeCell ref="G736:G737"/>
    <mergeCell ref="D759:F759"/>
    <mergeCell ref="B760:B763"/>
    <mergeCell ref="G761:G762"/>
    <mergeCell ref="D764:F764"/>
    <mergeCell ref="B765:B768"/>
    <mergeCell ref="G766:G767"/>
    <mergeCell ref="D749:F749"/>
    <mergeCell ref="B750:B753"/>
    <mergeCell ref="G751:G752"/>
    <mergeCell ref="D754:F754"/>
    <mergeCell ref="B755:B758"/>
    <mergeCell ref="G756:G757"/>
    <mergeCell ref="D779:F779"/>
    <mergeCell ref="B780:B783"/>
    <mergeCell ref="G781:G782"/>
    <mergeCell ref="D784:F784"/>
    <mergeCell ref="B785:B788"/>
    <mergeCell ref="G786:G787"/>
    <mergeCell ref="D769:F769"/>
    <mergeCell ref="B770:B773"/>
    <mergeCell ref="G771:G772"/>
    <mergeCell ref="D774:F774"/>
    <mergeCell ref="B775:B778"/>
    <mergeCell ref="G776:G777"/>
    <mergeCell ref="D799:F799"/>
    <mergeCell ref="B800:B803"/>
    <mergeCell ref="G801:G802"/>
    <mergeCell ref="D804:F804"/>
    <mergeCell ref="B805:B808"/>
    <mergeCell ref="G806:G807"/>
    <mergeCell ref="D789:F789"/>
    <mergeCell ref="B790:B793"/>
    <mergeCell ref="G791:G792"/>
    <mergeCell ref="D794:F794"/>
    <mergeCell ref="B795:B798"/>
    <mergeCell ref="G796:G797"/>
    <mergeCell ref="D819:F819"/>
    <mergeCell ref="B820:B823"/>
    <mergeCell ref="G821:G822"/>
    <mergeCell ref="D824:F824"/>
    <mergeCell ref="B825:B828"/>
    <mergeCell ref="G826:G827"/>
    <mergeCell ref="D809:F809"/>
    <mergeCell ref="B810:B813"/>
    <mergeCell ref="G811:G812"/>
    <mergeCell ref="D814:F814"/>
    <mergeCell ref="B815:B818"/>
    <mergeCell ref="G816:G817"/>
    <mergeCell ref="D839:F839"/>
    <mergeCell ref="B840:B843"/>
    <mergeCell ref="G841:G842"/>
    <mergeCell ref="D844:F844"/>
    <mergeCell ref="B845:B848"/>
    <mergeCell ref="G846:G847"/>
    <mergeCell ref="D829:F829"/>
    <mergeCell ref="B830:B833"/>
    <mergeCell ref="G831:G832"/>
    <mergeCell ref="D834:F834"/>
    <mergeCell ref="B835:B838"/>
    <mergeCell ref="G836:G837"/>
    <mergeCell ref="D859:F859"/>
    <mergeCell ref="B860:B863"/>
    <mergeCell ref="G861:G862"/>
    <mergeCell ref="D864:F864"/>
    <mergeCell ref="B865:B868"/>
    <mergeCell ref="G866:G867"/>
    <mergeCell ref="D849:F849"/>
    <mergeCell ref="B850:B853"/>
    <mergeCell ref="G851:G852"/>
    <mergeCell ref="D854:F854"/>
    <mergeCell ref="B855:B858"/>
    <mergeCell ref="G856:G857"/>
    <mergeCell ref="D879:F879"/>
    <mergeCell ref="B880:B883"/>
    <mergeCell ref="G881:G882"/>
    <mergeCell ref="D884:F884"/>
    <mergeCell ref="B885:B888"/>
    <mergeCell ref="G886:G887"/>
    <mergeCell ref="D869:F869"/>
    <mergeCell ref="B870:B873"/>
    <mergeCell ref="G871:G872"/>
    <mergeCell ref="D874:F874"/>
    <mergeCell ref="B875:B878"/>
    <mergeCell ref="G876:G877"/>
    <mergeCell ref="D899:F899"/>
    <mergeCell ref="B900:B903"/>
    <mergeCell ref="G901:G902"/>
    <mergeCell ref="D904:F904"/>
    <mergeCell ref="B905:B908"/>
    <mergeCell ref="G906:G907"/>
    <mergeCell ref="D889:F889"/>
    <mergeCell ref="B890:B893"/>
    <mergeCell ref="G891:G892"/>
    <mergeCell ref="D894:F894"/>
    <mergeCell ref="B895:B898"/>
    <mergeCell ref="G896:G897"/>
    <mergeCell ref="D919:F919"/>
    <mergeCell ref="B920:B923"/>
    <mergeCell ref="G921:G922"/>
    <mergeCell ref="D924:F924"/>
    <mergeCell ref="B925:B928"/>
    <mergeCell ref="G926:G927"/>
    <mergeCell ref="D909:F909"/>
    <mergeCell ref="B910:B913"/>
    <mergeCell ref="G911:G912"/>
    <mergeCell ref="D914:F914"/>
    <mergeCell ref="B915:B918"/>
    <mergeCell ref="G916:G917"/>
    <mergeCell ref="D939:F939"/>
    <mergeCell ref="B940:B943"/>
    <mergeCell ref="G941:G942"/>
    <mergeCell ref="D944:F944"/>
    <mergeCell ref="B945:B948"/>
    <mergeCell ref="G946:G947"/>
    <mergeCell ref="D929:F929"/>
    <mergeCell ref="B930:B933"/>
    <mergeCell ref="G931:G932"/>
    <mergeCell ref="D934:F934"/>
    <mergeCell ref="B935:B938"/>
    <mergeCell ref="G936:G937"/>
    <mergeCell ref="D959:F959"/>
    <mergeCell ref="B960:B963"/>
    <mergeCell ref="G961:G962"/>
    <mergeCell ref="D964:F964"/>
    <mergeCell ref="B965:B968"/>
    <mergeCell ref="G966:G967"/>
    <mergeCell ref="D949:F949"/>
    <mergeCell ref="B950:B953"/>
    <mergeCell ref="G951:G952"/>
    <mergeCell ref="D954:F954"/>
    <mergeCell ref="B955:B958"/>
    <mergeCell ref="G956:G957"/>
    <mergeCell ref="D979:F979"/>
    <mergeCell ref="B980:B983"/>
    <mergeCell ref="G981:G982"/>
    <mergeCell ref="D984:F984"/>
    <mergeCell ref="B985:B988"/>
    <mergeCell ref="G986:G987"/>
    <mergeCell ref="D969:F969"/>
    <mergeCell ref="B970:B973"/>
    <mergeCell ref="G971:G972"/>
    <mergeCell ref="D974:F974"/>
    <mergeCell ref="B975:B978"/>
    <mergeCell ref="G976:G977"/>
    <mergeCell ref="D999:F999"/>
    <mergeCell ref="B1000:B1003"/>
    <mergeCell ref="G1001:G1002"/>
    <mergeCell ref="D1004:F1004"/>
    <mergeCell ref="B1005:B1008"/>
    <mergeCell ref="G1006:G1007"/>
    <mergeCell ref="D989:F989"/>
    <mergeCell ref="B990:B993"/>
    <mergeCell ref="G991:G992"/>
    <mergeCell ref="D994:F994"/>
    <mergeCell ref="B995:B998"/>
    <mergeCell ref="G996:G997"/>
    <mergeCell ref="D1019:F1019"/>
    <mergeCell ref="B1020:B1023"/>
    <mergeCell ref="G1021:G1022"/>
    <mergeCell ref="D1024:F1024"/>
    <mergeCell ref="B1025:B1028"/>
    <mergeCell ref="G1026:G1027"/>
    <mergeCell ref="D1009:F1009"/>
    <mergeCell ref="B1010:B1013"/>
    <mergeCell ref="G1011:G1012"/>
    <mergeCell ref="D1014:F1014"/>
    <mergeCell ref="B1015:B1018"/>
    <mergeCell ref="G1016:G1017"/>
    <mergeCell ref="D1039:F1039"/>
    <mergeCell ref="B1040:B1043"/>
    <mergeCell ref="G1041:G1042"/>
    <mergeCell ref="D1044:F1044"/>
    <mergeCell ref="B1045:B1048"/>
    <mergeCell ref="G1046:G1047"/>
    <mergeCell ref="D1029:F1029"/>
    <mergeCell ref="B1030:B1033"/>
    <mergeCell ref="G1031:G1032"/>
    <mergeCell ref="D1034:F1034"/>
    <mergeCell ref="B1035:B1038"/>
    <mergeCell ref="G1036:G1037"/>
    <mergeCell ref="D1059:F1059"/>
    <mergeCell ref="B1060:B1063"/>
    <mergeCell ref="G1061:G1062"/>
    <mergeCell ref="D1064:F1064"/>
    <mergeCell ref="B1065:B1068"/>
    <mergeCell ref="G1066:G1067"/>
    <mergeCell ref="D1049:F1049"/>
    <mergeCell ref="B1050:B1053"/>
    <mergeCell ref="G1051:G1052"/>
    <mergeCell ref="D1054:F1054"/>
    <mergeCell ref="B1055:B1058"/>
    <mergeCell ref="G1056:G1057"/>
    <mergeCell ref="D1079:F1079"/>
    <mergeCell ref="B1080:B1083"/>
    <mergeCell ref="G1081:G1082"/>
    <mergeCell ref="D1084:F1084"/>
    <mergeCell ref="B1085:B1088"/>
    <mergeCell ref="G1086:G1087"/>
    <mergeCell ref="D1069:F1069"/>
    <mergeCell ref="B1070:B1073"/>
    <mergeCell ref="G1071:G1072"/>
    <mergeCell ref="D1074:F1074"/>
    <mergeCell ref="B1075:B1078"/>
    <mergeCell ref="G1076:G1077"/>
    <mergeCell ref="D1099:F1099"/>
    <mergeCell ref="B1100:B1103"/>
    <mergeCell ref="G1101:G1102"/>
    <mergeCell ref="D1104:F1104"/>
    <mergeCell ref="B1105:B1108"/>
    <mergeCell ref="G1106:G1107"/>
    <mergeCell ref="D1089:F1089"/>
    <mergeCell ref="B1090:B1093"/>
    <mergeCell ref="G1091:G1092"/>
    <mergeCell ref="D1094:F1094"/>
    <mergeCell ref="B1095:B1098"/>
    <mergeCell ref="G1096:G1097"/>
    <mergeCell ref="D1119:F1119"/>
    <mergeCell ref="B1120:B1123"/>
    <mergeCell ref="G1121:G1122"/>
    <mergeCell ref="D1124:F1124"/>
    <mergeCell ref="B1125:B1128"/>
    <mergeCell ref="G1126:G1127"/>
    <mergeCell ref="D1109:F1109"/>
    <mergeCell ref="B1110:B1113"/>
    <mergeCell ref="G1111:G1112"/>
    <mergeCell ref="D1114:F1114"/>
    <mergeCell ref="B1115:B1118"/>
    <mergeCell ref="G1116:G1117"/>
    <mergeCell ref="D1139:F1139"/>
    <mergeCell ref="B1140:B1143"/>
    <mergeCell ref="G1141:G1142"/>
    <mergeCell ref="D1129:F1129"/>
    <mergeCell ref="B1130:B1133"/>
    <mergeCell ref="G1131:G1132"/>
    <mergeCell ref="D1134:F1134"/>
    <mergeCell ref="B1135:B1138"/>
    <mergeCell ref="G1136:G1137"/>
  </mergeCells>
  <phoneticPr fontId="11" alignment="center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E52E-2490-4245-9B2F-8E611BF92DB6}">
  <dimension ref="B5:H1143"/>
  <sheetViews>
    <sheetView zoomScaleNormal="80" zoomScaleSheetLayoutView="100" workbookViewId="0"/>
  </sheetViews>
  <sheetFormatPr defaultRowHeight="13.5" x14ac:dyDescent="0.15"/>
  <cols>
    <col min="1" max="2" width="9.31640625" style="24"/>
    <col min="3" max="3" width="6.46875" style="24" customWidth="1"/>
    <col min="4" max="4" width="9.31640625" style="24"/>
    <col min="5" max="5" width="6.7265625" style="24" customWidth="1"/>
    <col min="6" max="7" width="9.31640625" style="24"/>
    <col min="8" max="8" width="41.15234375" style="24" customWidth="1"/>
    <col min="9" max="16384" width="9.31640625" style="24"/>
  </cols>
  <sheetData>
    <row r="5" spans="2:8" ht="14.25" thickBot="1" x14ac:dyDescent="0.2"/>
    <row r="6" spans="2:8" s="1" customFormat="1" x14ac:dyDescent="0.15">
      <c r="B6" s="13" t="s">
        <v>1</v>
      </c>
      <c r="C6" s="14" t="s">
        <v>0</v>
      </c>
      <c r="D6" s="29" t="s">
        <v>13</v>
      </c>
      <c r="E6" s="30"/>
      <c r="F6" s="31"/>
      <c r="G6" s="15" t="s">
        <v>12</v>
      </c>
      <c r="H6" s="16" t="s">
        <v>0</v>
      </c>
    </row>
    <row r="7" spans="2:8" s="1" customFormat="1" x14ac:dyDescent="0.15">
      <c r="B7" s="32" t="s">
        <v>14</v>
      </c>
      <c r="C7" s="2" t="s">
        <v>2</v>
      </c>
      <c r="D7" s="9">
        <v>1</v>
      </c>
      <c r="E7" s="3" t="s">
        <v>3</v>
      </c>
      <c r="F7" s="11">
        <v>2</v>
      </c>
      <c r="G7" s="4" t="s">
        <v>8</v>
      </c>
      <c r="H7" s="17" t="s">
        <v>9</v>
      </c>
    </row>
    <row r="8" spans="2:8" s="1" customFormat="1" ht="13.5" customHeight="1" x14ac:dyDescent="0.15">
      <c r="B8" s="33"/>
      <c r="C8" s="5" t="s">
        <v>4</v>
      </c>
      <c r="D8" s="9">
        <v>3</v>
      </c>
      <c r="E8" s="6" t="s">
        <v>5</v>
      </c>
      <c r="F8" s="11">
        <v>4</v>
      </c>
      <c r="G8" s="35" t="s">
        <v>15</v>
      </c>
      <c r="H8" s="17" t="s">
        <v>10</v>
      </c>
    </row>
    <row r="9" spans="2:8" s="1" customFormat="1" ht="13.5" customHeight="1" x14ac:dyDescent="0.15">
      <c r="B9" s="33"/>
      <c r="C9" s="7" t="s">
        <v>6</v>
      </c>
      <c r="D9" s="10">
        <v>6</v>
      </c>
      <c r="E9" s="8" t="s">
        <v>7</v>
      </c>
      <c r="F9" s="12">
        <v>5</v>
      </c>
      <c r="G9" s="36"/>
      <c r="H9" s="17" t="s">
        <v>11</v>
      </c>
    </row>
    <row r="10" spans="2:8" s="1" customFormat="1" ht="14.25" thickBot="1" x14ac:dyDescent="0.2">
      <c r="B10" s="34"/>
      <c r="C10" s="18" t="s">
        <v>16</v>
      </c>
      <c r="D10" s="19" t="s">
        <v>18</v>
      </c>
      <c r="E10" s="20" t="s">
        <v>17</v>
      </c>
      <c r="F10" s="21" t="s">
        <v>19</v>
      </c>
      <c r="G10" s="22" t="s">
        <v>20</v>
      </c>
      <c r="H10" s="23" t="s">
        <v>21</v>
      </c>
    </row>
    <row r="11" spans="2:8" ht="14.25" thickBot="1" x14ac:dyDescent="0.2"/>
    <row r="12" spans="2:8" ht="14.25" thickBot="1" x14ac:dyDescent="0.2">
      <c r="C12" s="24">
        <f>VLOOKUP(E12,Sheet1!$A6:$B8,2,FALSE)</f>
        <v>10.5</v>
      </c>
      <c r="D12" s="25" t="s">
        <v>451</v>
      </c>
      <c r="E12" s="28" t="s">
        <v>447</v>
      </c>
      <c r="F12" s="26" t="s">
        <v>452</v>
      </c>
    </row>
    <row r="13" spans="2:8" ht="14.25" thickBot="1" x14ac:dyDescent="0.2"/>
    <row r="14" spans="2:8" s="1" customFormat="1" x14ac:dyDescent="0.15">
      <c r="B14" s="13" t="s">
        <v>1</v>
      </c>
      <c r="C14" s="14" t="s">
        <v>0</v>
      </c>
      <c r="D14" s="29" t="s">
        <v>58</v>
      </c>
      <c r="E14" s="30"/>
      <c r="F14" s="31"/>
      <c r="G14" s="15" t="s">
        <v>57</v>
      </c>
      <c r="H14" s="16" t="s">
        <v>31</v>
      </c>
    </row>
    <row r="15" spans="2:8" s="1" customFormat="1" x14ac:dyDescent="0.15">
      <c r="B15" s="32">
        <v>300001</v>
      </c>
      <c r="C15" s="2" t="s">
        <v>2</v>
      </c>
      <c r="D15" s="9">
        <f>ROUND(C12*680,0)</f>
        <v>7140</v>
      </c>
      <c r="E15" s="3" t="s">
        <v>3</v>
      </c>
      <c r="F15" s="11">
        <f>ROUND(C12*880,0)</f>
        <v>9240</v>
      </c>
      <c r="G15" s="4" t="s">
        <v>8</v>
      </c>
      <c r="H15" s="17" t="s">
        <v>22</v>
      </c>
    </row>
    <row r="16" spans="2:8" s="1" customFormat="1" ht="13.5" customHeight="1" x14ac:dyDescent="0.15">
      <c r="B16" s="33"/>
      <c r="C16" s="5" t="s">
        <v>4</v>
      </c>
      <c r="D16" s="9">
        <f>ROUND(C12*880,0)</f>
        <v>9240</v>
      </c>
      <c r="E16" s="6" t="s">
        <v>5</v>
      </c>
      <c r="F16" s="11">
        <f>ROUND(C12*476,0)</f>
        <v>4998</v>
      </c>
      <c r="G16" s="35">
        <v>50</v>
      </c>
      <c r="H16" s="17"/>
    </row>
    <row r="17" spans="2:8" s="1" customFormat="1" ht="13.5" customHeight="1" x14ac:dyDescent="0.15">
      <c r="B17" s="33"/>
      <c r="C17" s="7" t="s">
        <v>6</v>
      </c>
      <c r="D17" s="10">
        <v>7</v>
      </c>
      <c r="E17" s="8" t="s">
        <v>7</v>
      </c>
      <c r="F17" s="12">
        <f>ROUND(C12*480,0)</f>
        <v>5040</v>
      </c>
      <c r="G17" s="36"/>
      <c r="H17" s="17"/>
    </row>
    <row r="18" spans="2:8" s="1" customFormat="1" ht="14.25" thickBot="1" x14ac:dyDescent="0.2">
      <c r="B18" s="34"/>
      <c r="C18" s="18" t="s">
        <v>16</v>
      </c>
      <c r="D18" s="19" t="s">
        <v>389</v>
      </c>
      <c r="E18" s="20" t="s">
        <v>17</v>
      </c>
      <c r="F18" s="21" t="s">
        <v>33</v>
      </c>
      <c r="G18" s="22" t="s">
        <v>20</v>
      </c>
      <c r="H18" s="23" t="s">
        <v>34</v>
      </c>
    </row>
    <row r="19" spans="2:8" s="1" customFormat="1" x14ac:dyDescent="0.15">
      <c r="B19" s="13" t="s">
        <v>1</v>
      </c>
      <c r="C19" s="14" t="s">
        <v>0</v>
      </c>
      <c r="D19" s="29" t="s">
        <v>59</v>
      </c>
      <c r="E19" s="30"/>
      <c r="F19" s="31"/>
      <c r="G19" s="15" t="s">
        <v>57</v>
      </c>
      <c r="H19" s="16" t="s">
        <v>35</v>
      </c>
    </row>
    <row r="20" spans="2:8" s="1" customFormat="1" x14ac:dyDescent="0.15">
      <c r="B20" s="32">
        <v>300002</v>
      </c>
      <c r="C20" s="2" t="s">
        <v>2</v>
      </c>
      <c r="D20" s="9">
        <f>ROUND(C12*680,0)</f>
        <v>7140</v>
      </c>
      <c r="E20" s="3" t="s">
        <v>3</v>
      </c>
      <c r="F20" s="11">
        <f>ROUND(C12*880,0)</f>
        <v>9240</v>
      </c>
      <c r="G20" s="4" t="s">
        <v>8</v>
      </c>
      <c r="H20" s="17" t="s">
        <v>23</v>
      </c>
    </row>
    <row r="21" spans="2:8" s="1" customFormat="1" ht="13.5" customHeight="1" x14ac:dyDescent="0.15">
      <c r="B21" s="33"/>
      <c r="C21" s="5" t="s">
        <v>4</v>
      </c>
      <c r="D21" s="9">
        <f>ROUND(C12*880,0)</f>
        <v>9240</v>
      </c>
      <c r="E21" s="6" t="s">
        <v>5</v>
      </c>
      <c r="F21" s="11">
        <f>ROUND(C12*476,0)</f>
        <v>4998</v>
      </c>
      <c r="G21" s="35">
        <v>100</v>
      </c>
      <c r="H21" s="17"/>
    </row>
    <row r="22" spans="2:8" s="1" customFormat="1" ht="13.5" customHeight="1" x14ac:dyDescent="0.15">
      <c r="B22" s="33"/>
      <c r="C22" s="7" t="s">
        <v>6</v>
      </c>
      <c r="D22" s="10">
        <v>7</v>
      </c>
      <c r="E22" s="8" t="s">
        <v>7</v>
      </c>
      <c r="F22" s="12">
        <f>ROUND(C12*480,0)</f>
        <v>5040</v>
      </c>
      <c r="G22" s="36"/>
      <c r="H22" s="17"/>
    </row>
    <row r="23" spans="2:8" s="1" customFormat="1" ht="14.25" thickBot="1" x14ac:dyDescent="0.2">
      <c r="B23" s="34"/>
      <c r="C23" s="18" t="s">
        <v>16</v>
      </c>
      <c r="D23" s="19" t="s">
        <v>390</v>
      </c>
      <c r="E23" s="20" t="s">
        <v>17</v>
      </c>
      <c r="F23" s="21" t="s">
        <v>294</v>
      </c>
      <c r="G23" s="22" t="s">
        <v>20</v>
      </c>
      <c r="H23" s="23" t="s">
        <v>37</v>
      </c>
    </row>
    <row r="24" spans="2:8" s="1" customFormat="1" x14ac:dyDescent="0.15">
      <c r="B24" s="13" t="s">
        <v>1</v>
      </c>
      <c r="C24" s="14" t="s">
        <v>0</v>
      </c>
      <c r="D24" s="29" t="s">
        <v>60</v>
      </c>
      <c r="E24" s="30"/>
      <c r="F24" s="31"/>
      <c r="G24" s="15" t="s">
        <v>57</v>
      </c>
      <c r="H24" s="16" t="s">
        <v>38</v>
      </c>
    </row>
    <row r="25" spans="2:8" s="1" customFormat="1" x14ac:dyDescent="0.15">
      <c r="B25" s="32">
        <v>300003</v>
      </c>
      <c r="C25" s="2" t="s">
        <v>2</v>
      </c>
      <c r="D25" s="9">
        <f>ROUND(C12*680,0)</f>
        <v>7140</v>
      </c>
      <c r="E25" s="3" t="s">
        <v>3</v>
      </c>
      <c r="F25" s="11">
        <f>ROUND(C12*880,0)</f>
        <v>9240</v>
      </c>
      <c r="G25" s="4" t="s">
        <v>8</v>
      </c>
      <c r="H25" s="17" t="s">
        <v>24</v>
      </c>
    </row>
    <row r="26" spans="2:8" s="1" customFormat="1" ht="13.5" customHeight="1" x14ac:dyDescent="0.15">
      <c r="B26" s="33"/>
      <c r="C26" s="5" t="s">
        <v>4</v>
      </c>
      <c r="D26" s="9">
        <f>ROUND(C12*880,0)</f>
        <v>9240</v>
      </c>
      <c r="E26" s="6" t="s">
        <v>5</v>
      </c>
      <c r="F26" s="11">
        <f>ROUND(C12*476,0)</f>
        <v>4998</v>
      </c>
      <c r="G26" s="35">
        <v>50</v>
      </c>
      <c r="H26" s="17"/>
    </row>
    <row r="27" spans="2:8" s="1" customFormat="1" ht="13.5" customHeight="1" x14ac:dyDescent="0.15">
      <c r="B27" s="33"/>
      <c r="C27" s="7" t="s">
        <v>6</v>
      </c>
      <c r="D27" s="10">
        <v>7</v>
      </c>
      <c r="E27" s="8" t="s">
        <v>7</v>
      </c>
      <c r="F27" s="12">
        <f>ROUND(C12*530,0)</f>
        <v>5565</v>
      </c>
      <c r="G27" s="36"/>
      <c r="H27" s="17"/>
    </row>
    <row r="28" spans="2:8" s="1" customFormat="1" ht="14.25" thickBot="1" x14ac:dyDescent="0.2">
      <c r="B28" s="34"/>
      <c r="C28" s="18" t="s">
        <v>16</v>
      </c>
      <c r="D28" s="19" t="s">
        <v>39</v>
      </c>
      <c r="E28" s="20" t="s">
        <v>17</v>
      </c>
      <c r="F28" s="21" t="s">
        <v>56</v>
      </c>
      <c r="G28" s="22" t="s">
        <v>20</v>
      </c>
      <c r="H28" s="23" t="s">
        <v>37</v>
      </c>
    </row>
    <row r="29" spans="2:8" s="1" customFormat="1" x14ac:dyDescent="0.15">
      <c r="B29" s="13" t="s">
        <v>1</v>
      </c>
      <c r="C29" s="14" t="s">
        <v>0</v>
      </c>
      <c r="D29" s="29" t="s">
        <v>61</v>
      </c>
      <c r="E29" s="30"/>
      <c r="F29" s="31"/>
      <c r="G29" s="15" t="s">
        <v>57</v>
      </c>
      <c r="H29" s="16" t="s">
        <v>41</v>
      </c>
    </row>
    <row r="30" spans="2:8" s="1" customFormat="1" x14ac:dyDescent="0.15">
      <c r="B30" s="32">
        <v>300004</v>
      </c>
      <c r="C30" s="2" t="s">
        <v>2</v>
      </c>
      <c r="D30" s="9">
        <f>ROUND(C12*680,0)</f>
        <v>7140</v>
      </c>
      <c r="E30" s="3" t="s">
        <v>3</v>
      </c>
      <c r="F30" s="11">
        <f>ROUND(C12*1936,0)</f>
        <v>20328</v>
      </c>
      <c r="G30" s="4" t="s">
        <v>8</v>
      </c>
      <c r="H30" s="17" t="s">
        <v>25</v>
      </c>
    </row>
    <row r="31" spans="2:8" s="1" customFormat="1" ht="13.5" customHeight="1" x14ac:dyDescent="0.15">
      <c r="B31" s="33"/>
      <c r="C31" s="5" t="s">
        <v>4</v>
      </c>
      <c r="D31" s="9">
        <f>ROUND(C12*880,0)</f>
        <v>9240</v>
      </c>
      <c r="E31" s="6" t="s">
        <v>5</v>
      </c>
      <c r="F31" s="11">
        <f>ROUND(C12*980,0)</f>
        <v>10290</v>
      </c>
      <c r="G31" s="35">
        <v>100</v>
      </c>
      <c r="H31" s="17"/>
    </row>
    <row r="32" spans="2:8" s="1" customFormat="1" ht="13.5" customHeight="1" x14ac:dyDescent="0.15">
      <c r="B32" s="33"/>
      <c r="C32" s="7" t="s">
        <v>6</v>
      </c>
      <c r="D32" s="10">
        <v>4</v>
      </c>
      <c r="E32" s="8" t="s">
        <v>7</v>
      </c>
      <c r="F32" s="12">
        <f>ROUND(C12*530,0)</f>
        <v>5565</v>
      </c>
      <c r="G32" s="36"/>
      <c r="H32" s="17"/>
    </row>
    <row r="33" spans="2:8" s="1" customFormat="1" ht="14.25" thickBot="1" x14ac:dyDescent="0.2">
      <c r="B33" s="34"/>
      <c r="C33" s="18" t="s">
        <v>16</v>
      </c>
      <c r="D33" s="19" t="s">
        <v>42</v>
      </c>
      <c r="E33" s="20" t="s">
        <v>17</v>
      </c>
      <c r="F33" s="21" t="s">
        <v>85</v>
      </c>
      <c r="G33" s="22" t="s">
        <v>20</v>
      </c>
      <c r="H33" s="23" t="s">
        <v>37</v>
      </c>
    </row>
    <row r="34" spans="2:8" s="1" customFormat="1" x14ac:dyDescent="0.15">
      <c r="B34" s="13" t="s">
        <v>1</v>
      </c>
      <c r="C34" s="14" t="s">
        <v>0</v>
      </c>
      <c r="D34" s="29" t="s">
        <v>62</v>
      </c>
      <c r="E34" s="30"/>
      <c r="F34" s="31"/>
      <c r="G34" s="15" t="s">
        <v>57</v>
      </c>
      <c r="H34" s="16" t="s">
        <v>44</v>
      </c>
    </row>
    <row r="35" spans="2:8" s="1" customFormat="1" x14ac:dyDescent="0.15">
      <c r="B35" s="32">
        <v>300005</v>
      </c>
      <c r="C35" s="2" t="s">
        <v>2</v>
      </c>
      <c r="D35" s="9">
        <f>ROUND(C12*680,0)</f>
        <v>7140</v>
      </c>
      <c r="E35" s="3" t="s">
        <v>3</v>
      </c>
      <c r="F35" s="11">
        <f>ROUND(C12*880,0)</f>
        <v>9240</v>
      </c>
      <c r="G35" s="4" t="s">
        <v>8</v>
      </c>
      <c r="H35" s="17" t="s">
        <v>26</v>
      </c>
    </row>
    <row r="36" spans="2:8" s="1" customFormat="1" ht="13.5" customHeight="1" x14ac:dyDescent="0.15">
      <c r="B36" s="33"/>
      <c r="C36" s="5" t="s">
        <v>4</v>
      </c>
      <c r="D36" s="9">
        <f>ROUND(C12*880,0)</f>
        <v>9240</v>
      </c>
      <c r="E36" s="6" t="s">
        <v>5</v>
      </c>
      <c r="F36" s="11">
        <f>ROUND(C12*476,0)</f>
        <v>4998</v>
      </c>
      <c r="G36" s="35">
        <v>100</v>
      </c>
      <c r="H36" s="17"/>
    </row>
    <row r="37" spans="2:8" s="1" customFormat="1" ht="13.5" customHeight="1" x14ac:dyDescent="0.15">
      <c r="B37" s="33"/>
      <c r="C37" s="7" t="s">
        <v>6</v>
      </c>
      <c r="D37" s="10">
        <v>7</v>
      </c>
      <c r="E37" s="8" t="s">
        <v>7</v>
      </c>
      <c r="F37" s="12">
        <f>ROUND(C12*530,0)</f>
        <v>5565</v>
      </c>
      <c r="G37" s="36"/>
      <c r="H37" s="17"/>
    </row>
    <row r="38" spans="2:8" s="1" customFormat="1" ht="14.25" thickBot="1" x14ac:dyDescent="0.2">
      <c r="B38" s="34"/>
      <c r="C38" s="18" t="s">
        <v>16</v>
      </c>
      <c r="D38" s="19" t="s">
        <v>244</v>
      </c>
      <c r="E38" s="20" t="s">
        <v>17</v>
      </c>
      <c r="F38" s="21" t="s">
        <v>36</v>
      </c>
      <c r="G38" s="22" t="s">
        <v>20</v>
      </c>
      <c r="H38" s="23" t="s">
        <v>37</v>
      </c>
    </row>
    <row r="39" spans="2:8" s="1" customFormat="1" x14ac:dyDescent="0.15">
      <c r="B39" s="13" t="s">
        <v>1</v>
      </c>
      <c r="C39" s="14" t="s">
        <v>0</v>
      </c>
      <c r="D39" s="29" t="s">
        <v>63</v>
      </c>
      <c r="E39" s="30"/>
      <c r="F39" s="31"/>
      <c r="G39" s="15" t="s">
        <v>57</v>
      </c>
      <c r="H39" s="16" t="s">
        <v>46</v>
      </c>
    </row>
    <row r="40" spans="2:8" s="1" customFormat="1" x14ac:dyDescent="0.15">
      <c r="B40" s="32">
        <v>300006</v>
      </c>
      <c r="C40" s="2" t="s">
        <v>2</v>
      </c>
      <c r="D40" s="9">
        <f>ROUND(C12*680,0)</f>
        <v>7140</v>
      </c>
      <c r="E40" s="3" t="s">
        <v>3</v>
      </c>
      <c r="F40" s="11">
        <f>ROUND(C12*1936,0)</f>
        <v>20328</v>
      </c>
      <c r="G40" s="4" t="s">
        <v>8</v>
      </c>
      <c r="H40" s="17" t="s">
        <v>27</v>
      </c>
    </row>
    <row r="41" spans="2:8" s="1" customFormat="1" ht="13.5" customHeight="1" x14ac:dyDescent="0.15">
      <c r="B41" s="33"/>
      <c r="C41" s="5" t="s">
        <v>4</v>
      </c>
      <c r="D41" s="9">
        <f>ROUND(C12*880,0)</f>
        <v>9240</v>
      </c>
      <c r="E41" s="6" t="s">
        <v>5</v>
      </c>
      <c r="F41" s="11">
        <f>ROUND(C12*980,0)</f>
        <v>10290</v>
      </c>
      <c r="G41" s="35">
        <v>100</v>
      </c>
      <c r="H41" s="17"/>
    </row>
    <row r="42" spans="2:8" s="1" customFormat="1" ht="13.5" customHeight="1" x14ac:dyDescent="0.15">
      <c r="B42" s="33"/>
      <c r="C42" s="7" t="s">
        <v>6</v>
      </c>
      <c r="D42" s="10">
        <v>4</v>
      </c>
      <c r="E42" s="8" t="s">
        <v>7</v>
      </c>
      <c r="F42" s="12">
        <f>ROUND(C12*530,0)</f>
        <v>5565</v>
      </c>
      <c r="G42" s="36"/>
      <c r="H42" s="17"/>
    </row>
    <row r="43" spans="2:8" s="1" customFormat="1" ht="14.25" thickBot="1" x14ac:dyDescent="0.2">
      <c r="B43" s="34"/>
      <c r="C43" s="18" t="s">
        <v>16</v>
      </c>
      <c r="D43" s="19" t="s">
        <v>391</v>
      </c>
      <c r="E43" s="20" t="s">
        <v>17</v>
      </c>
      <c r="F43" s="21" t="s">
        <v>392</v>
      </c>
      <c r="G43" s="22" t="s">
        <v>20</v>
      </c>
      <c r="H43" s="23" t="s">
        <v>37</v>
      </c>
    </row>
    <row r="44" spans="2:8" s="1" customFormat="1" x14ac:dyDescent="0.15">
      <c r="B44" s="13" t="s">
        <v>1</v>
      </c>
      <c r="C44" s="14" t="s">
        <v>0</v>
      </c>
      <c r="D44" s="29" t="s">
        <v>64</v>
      </c>
      <c r="E44" s="30"/>
      <c r="F44" s="31"/>
      <c r="G44" s="15" t="s">
        <v>57</v>
      </c>
      <c r="H44" s="16" t="s">
        <v>47</v>
      </c>
    </row>
    <row r="45" spans="2:8" s="1" customFormat="1" x14ac:dyDescent="0.15">
      <c r="B45" s="32">
        <v>300007</v>
      </c>
      <c r="C45" s="2" t="s">
        <v>2</v>
      </c>
      <c r="D45" s="9">
        <f>ROUND(C12*680,0)</f>
        <v>7140</v>
      </c>
      <c r="E45" s="3" t="s">
        <v>3</v>
      </c>
      <c r="F45" s="11">
        <f>ROUND(C12*880,0)</f>
        <v>9240</v>
      </c>
      <c r="G45" s="4" t="s">
        <v>8</v>
      </c>
      <c r="H45" s="17" t="s">
        <v>28</v>
      </c>
    </row>
    <row r="46" spans="2:8" s="1" customFormat="1" ht="13.5" customHeight="1" x14ac:dyDescent="0.15">
      <c r="B46" s="33"/>
      <c r="C46" s="5" t="s">
        <v>4</v>
      </c>
      <c r="D46" s="9">
        <f>ROUND(C12*880,0)</f>
        <v>9240</v>
      </c>
      <c r="E46" s="6" t="s">
        <v>5</v>
      </c>
      <c r="F46" s="11">
        <f>ROUND(C12*476,0)</f>
        <v>4998</v>
      </c>
      <c r="G46" s="35">
        <v>50</v>
      </c>
      <c r="H46" s="17"/>
    </row>
    <row r="47" spans="2:8" s="1" customFormat="1" ht="13.5" customHeight="1" x14ac:dyDescent="0.15">
      <c r="B47" s="33"/>
      <c r="C47" s="7" t="s">
        <v>6</v>
      </c>
      <c r="D47" s="10">
        <v>7</v>
      </c>
      <c r="E47" s="8" t="s">
        <v>7</v>
      </c>
      <c r="F47" s="12">
        <f>ROUND(C12*480,0)</f>
        <v>5040</v>
      </c>
      <c r="G47" s="36"/>
      <c r="H47" s="17"/>
    </row>
    <row r="48" spans="2:8" s="1" customFormat="1" ht="14.25" thickBot="1" x14ac:dyDescent="0.2">
      <c r="B48" s="34"/>
      <c r="C48" s="18" t="s">
        <v>16</v>
      </c>
      <c r="D48" s="19" t="s">
        <v>376</v>
      </c>
      <c r="E48" s="20" t="s">
        <v>17</v>
      </c>
      <c r="F48" s="21" t="s">
        <v>49</v>
      </c>
      <c r="G48" s="22" t="s">
        <v>20</v>
      </c>
      <c r="H48" s="23" t="s">
        <v>34</v>
      </c>
    </row>
    <row r="49" spans="2:8" s="1" customFormat="1" x14ac:dyDescent="0.15">
      <c r="B49" s="13" t="s">
        <v>1</v>
      </c>
      <c r="C49" s="14" t="s">
        <v>0</v>
      </c>
      <c r="D49" s="29" t="s">
        <v>65</v>
      </c>
      <c r="E49" s="30"/>
      <c r="F49" s="31"/>
      <c r="G49" s="15" t="s">
        <v>57</v>
      </c>
      <c r="H49" s="16" t="s">
        <v>50</v>
      </c>
    </row>
    <row r="50" spans="2:8" s="1" customFormat="1" x14ac:dyDescent="0.15">
      <c r="B50" s="32">
        <v>300008</v>
      </c>
      <c r="C50" s="2" t="s">
        <v>2</v>
      </c>
      <c r="D50" s="9">
        <f>ROUND(C12*680,0)</f>
        <v>7140</v>
      </c>
      <c r="E50" s="3" t="s">
        <v>3</v>
      </c>
      <c r="F50" s="11">
        <f>ROUND(C12*880,0)</f>
        <v>9240</v>
      </c>
      <c r="G50" s="4" t="s">
        <v>8</v>
      </c>
      <c r="H50" s="17" t="s">
        <v>29</v>
      </c>
    </row>
    <row r="51" spans="2:8" s="1" customFormat="1" ht="13.5" customHeight="1" x14ac:dyDescent="0.15">
      <c r="B51" s="33"/>
      <c r="C51" s="5" t="s">
        <v>4</v>
      </c>
      <c r="D51" s="9">
        <f>ROUND(C12*880,0)</f>
        <v>9240</v>
      </c>
      <c r="E51" s="6" t="s">
        <v>5</v>
      </c>
      <c r="F51" s="11">
        <f>ROUND(C12*476,0)</f>
        <v>4998</v>
      </c>
      <c r="G51" s="35">
        <v>100</v>
      </c>
      <c r="H51" s="17"/>
    </row>
    <row r="52" spans="2:8" s="1" customFormat="1" ht="13.5" customHeight="1" x14ac:dyDescent="0.15">
      <c r="B52" s="33"/>
      <c r="C52" s="7" t="s">
        <v>6</v>
      </c>
      <c r="D52" s="10">
        <v>7</v>
      </c>
      <c r="E52" s="8" t="s">
        <v>7</v>
      </c>
      <c r="F52" s="12">
        <f>ROUND(C12*530,0)</f>
        <v>5565</v>
      </c>
      <c r="G52" s="36"/>
      <c r="H52" s="17"/>
    </row>
    <row r="53" spans="2:8" s="1" customFormat="1" ht="14.25" thickBot="1" x14ac:dyDescent="0.2">
      <c r="B53" s="34"/>
      <c r="C53" s="18" t="s">
        <v>16</v>
      </c>
      <c r="D53" s="19" t="s">
        <v>393</v>
      </c>
      <c r="E53" s="20" t="s">
        <v>17</v>
      </c>
      <c r="F53" s="21" t="s">
        <v>52</v>
      </c>
      <c r="G53" s="22" t="s">
        <v>20</v>
      </c>
      <c r="H53" s="23" t="s">
        <v>37</v>
      </c>
    </row>
    <row r="54" spans="2:8" s="1" customFormat="1" x14ac:dyDescent="0.15">
      <c r="B54" s="13" t="s">
        <v>1</v>
      </c>
      <c r="C54" s="14" t="s">
        <v>0</v>
      </c>
      <c r="D54" s="29" t="s">
        <v>66</v>
      </c>
      <c r="E54" s="30"/>
      <c r="F54" s="31"/>
      <c r="G54" s="15" t="s">
        <v>57</v>
      </c>
      <c r="H54" s="16" t="s">
        <v>53</v>
      </c>
    </row>
    <row r="55" spans="2:8" s="1" customFormat="1" x14ac:dyDescent="0.15">
      <c r="B55" s="32">
        <v>300009</v>
      </c>
      <c r="C55" s="2" t="s">
        <v>2</v>
      </c>
      <c r="D55" s="9">
        <f>ROUND(C12*680,0)</f>
        <v>7140</v>
      </c>
      <c r="E55" s="3" t="s">
        <v>3</v>
      </c>
      <c r="F55" s="11">
        <f>ROUND(C12*880,0)</f>
        <v>9240</v>
      </c>
      <c r="G55" s="4" t="s">
        <v>8</v>
      </c>
      <c r="H55" s="17" t="s">
        <v>394</v>
      </c>
    </row>
    <row r="56" spans="2:8" s="1" customFormat="1" ht="13.5" customHeight="1" x14ac:dyDescent="0.15">
      <c r="B56" s="33"/>
      <c r="C56" s="5" t="s">
        <v>4</v>
      </c>
      <c r="D56" s="9">
        <f>ROUND(C12*880,0)</f>
        <v>9240</v>
      </c>
      <c r="E56" s="6" t="s">
        <v>5</v>
      </c>
      <c r="F56" s="11">
        <f>ROUND(C12*476,0)</f>
        <v>4998</v>
      </c>
      <c r="G56" s="35">
        <v>30</v>
      </c>
      <c r="H56" s="17"/>
    </row>
    <row r="57" spans="2:8" s="1" customFormat="1" ht="13.5" customHeight="1" x14ac:dyDescent="0.15">
      <c r="B57" s="33"/>
      <c r="C57" s="7" t="s">
        <v>6</v>
      </c>
      <c r="D57" s="10">
        <v>7</v>
      </c>
      <c r="E57" s="8" t="s">
        <v>7</v>
      </c>
      <c r="F57" s="12">
        <f>ROUND(C12*370,0)</f>
        <v>3885</v>
      </c>
      <c r="G57" s="36"/>
      <c r="H57" s="17"/>
    </row>
    <row r="58" spans="2:8" s="1" customFormat="1" ht="14.25" thickBot="1" x14ac:dyDescent="0.2">
      <c r="B58" s="34"/>
      <c r="C58" s="18" t="s">
        <v>16</v>
      </c>
      <c r="D58" s="19" t="s">
        <v>382</v>
      </c>
      <c r="E58" s="20" t="s">
        <v>17</v>
      </c>
      <c r="F58" s="21" t="s">
        <v>45</v>
      </c>
      <c r="G58" s="22" t="s">
        <v>20</v>
      </c>
      <c r="H58" s="23" t="s">
        <v>34</v>
      </c>
    </row>
    <row r="59" spans="2:8" s="1" customFormat="1" x14ac:dyDescent="0.15">
      <c r="B59" s="13" t="s">
        <v>1</v>
      </c>
      <c r="C59" s="14" t="s">
        <v>0</v>
      </c>
      <c r="D59" s="29" t="s">
        <v>67</v>
      </c>
      <c r="E59" s="30"/>
      <c r="F59" s="31"/>
      <c r="G59" s="15" t="s">
        <v>57</v>
      </c>
      <c r="H59" s="16" t="s">
        <v>55</v>
      </c>
    </row>
    <row r="60" spans="2:8" s="1" customFormat="1" x14ac:dyDescent="0.15">
      <c r="B60" s="32">
        <v>300010</v>
      </c>
      <c r="C60" s="2" t="s">
        <v>2</v>
      </c>
      <c r="D60" s="9">
        <f>ROUND(C12*680,0)</f>
        <v>7140</v>
      </c>
      <c r="E60" s="3" t="s">
        <v>3</v>
      </c>
      <c r="F60" s="11">
        <f>ROUND(C12*1936,0)</f>
        <v>20328</v>
      </c>
      <c r="G60" s="4" t="s">
        <v>8</v>
      </c>
      <c r="H60" s="17" t="s">
        <v>30</v>
      </c>
    </row>
    <row r="61" spans="2:8" s="1" customFormat="1" ht="13.5" customHeight="1" x14ac:dyDescent="0.15">
      <c r="B61" s="33"/>
      <c r="C61" s="5" t="s">
        <v>4</v>
      </c>
      <c r="D61" s="9">
        <f>ROUND(C12*880,0)</f>
        <v>9240</v>
      </c>
      <c r="E61" s="6" t="s">
        <v>5</v>
      </c>
      <c r="F61" s="11">
        <f>ROUND(C12*980,0)</f>
        <v>10290</v>
      </c>
      <c r="G61" s="35">
        <v>100</v>
      </c>
      <c r="H61" s="17"/>
    </row>
    <row r="62" spans="2:8" s="1" customFormat="1" ht="13.5" customHeight="1" x14ac:dyDescent="0.15">
      <c r="B62" s="33"/>
      <c r="C62" s="7" t="s">
        <v>6</v>
      </c>
      <c r="D62" s="10">
        <v>4</v>
      </c>
      <c r="E62" s="8" t="s">
        <v>7</v>
      </c>
      <c r="F62" s="12">
        <f>ROUND(C12*370,0)</f>
        <v>3885</v>
      </c>
      <c r="G62" s="36"/>
      <c r="H62" s="17"/>
    </row>
    <row r="63" spans="2:8" s="1" customFormat="1" ht="14.25" thickBot="1" x14ac:dyDescent="0.2">
      <c r="B63" s="34"/>
      <c r="C63" s="18" t="s">
        <v>16</v>
      </c>
      <c r="D63" s="19" t="s">
        <v>395</v>
      </c>
      <c r="E63" s="20" t="s">
        <v>17</v>
      </c>
      <c r="F63" s="21" t="s">
        <v>396</v>
      </c>
      <c r="G63" s="22" t="s">
        <v>20</v>
      </c>
      <c r="H63" s="23" t="s">
        <v>37</v>
      </c>
    </row>
    <row r="64" spans="2:8" s="1" customFormat="1" x14ac:dyDescent="0.15">
      <c r="B64" s="13" t="s">
        <v>1</v>
      </c>
      <c r="C64" s="14" t="s">
        <v>0</v>
      </c>
      <c r="D64" s="29" t="s">
        <v>68</v>
      </c>
      <c r="E64" s="30"/>
      <c r="F64" s="31"/>
      <c r="G64" s="15" t="s">
        <v>57</v>
      </c>
      <c r="H64" s="16" t="s">
        <v>69</v>
      </c>
    </row>
    <row r="65" spans="2:8" s="1" customFormat="1" x14ac:dyDescent="0.15">
      <c r="B65" s="32">
        <v>300011</v>
      </c>
      <c r="C65" s="2" t="s">
        <v>2</v>
      </c>
      <c r="D65" s="9">
        <f>ROUND(C12*680,0)</f>
        <v>7140</v>
      </c>
      <c r="E65" s="3" t="s">
        <v>3</v>
      </c>
      <c r="F65" s="11">
        <f>ROUND(C12*880,0)</f>
        <v>9240</v>
      </c>
      <c r="G65" s="4" t="s">
        <v>8</v>
      </c>
      <c r="H65" s="17" t="s">
        <v>70</v>
      </c>
    </row>
    <row r="66" spans="2:8" s="1" customFormat="1" ht="13.5" customHeight="1" x14ac:dyDescent="0.15">
      <c r="B66" s="33"/>
      <c r="C66" s="5" t="s">
        <v>4</v>
      </c>
      <c r="D66" s="9">
        <f>ROUND(C12*880,0)</f>
        <v>9240</v>
      </c>
      <c r="E66" s="6" t="s">
        <v>5</v>
      </c>
      <c r="F66" s="11">
        <f>ROUND(C12*476,0)</f>
        <v>4998</v>
      </c>
      <c r="G66" s="35">
        <v>50</v>
      </c>
      <c r="H66" s="17"/>
    </row>
    <row r="67" spans="2:8" s="1" customFormat="1" ht="13.5" customHeight="1" x14ac:dyDescent="0.15">
      <c r="B67" s="33"/>
      <c r="C67" s="7" t="s">
        <v>6</v>
      </c>
      <c r="D67" s="10">
        <v>7</v>
      </c>
      <c r="E67" s="8" t="s">
        <v>7</v>
      </c>
      <c r="F67" s="12">
        <f>ROUND(C12*370,0)</f>
        <v>3885</v>
      </c>
      <c r="G67" s="36"/>
      <c r="H67" s="17"/>
    </row>
    <row r="68" spans="2:8" s="1" customFormat="1" ht="14.25" thickBot="1" x14ac:dyDescent="0.2">
      <c r="B68" s="34"/>
      <c r="C68" s="18" t="s">
        <v>16</v>
      </c>
      <c r="D68" s="19" t="s">
        <v>393</v>
      </c>
      <c r="E68" s="20" t="s">
        <v>17</v>
      </c>
      <c r="F68" s="21" t="s">
        <v>397</v>
      </c>
      <c r="G68" s="22" t="s">
        <v>20</v>
      </c>
      <c r="H68" s="23" t="s">
        <v>72</v>
      </c>
    </row>
    <row r="69" spans="2:8" s="1" customFormat="1" x14ac:dyDescent="0.15">
      <c r="B69" s="13" t="s">
        <v>1</v>
      </c>
      <c r="C69" s="14" t="s">
        <v>0</v>
      </c>
      <c r="D69" s="29" t="s">
        <v>73</v>
      </c>
      <c r="E69" s="30"/>
      <c r="F69" s="31"/>
      <c r="G69" s="15" t="s">
        <v>57</v>
      </c>
      <c r="H69" s="16" t="s">
        <v>74</v>
      </c>
    </row>
    <row r="70" spans="2:8" s="1" customFormat="1" x14ac:dyDescent="0.15">
      <c r="B70" s="32">
        <v>300012</v>
      </c>
      <c r="C70" s="2" t="s">
        <v>2</v>
      </c>
      <c r="D70" s="9">
        <f>ROUND(C12*680,0)</f>
        <v>7140</v>
      </c>
      <c r="E70" s="3" t="s">
        <v>3</v>
      </c>
      <c r="F70" s="11">
        <f>ROUND(C12*880,0)</f>
        <v>9240</v>
      </c>
      <c r="G70" s="4" t="s">
        <v>8</v>
      </c>
      <c r="H70" s="17" t="s">
        <v>75</v>
      </c>
    </row>
    <row r="71" spans="2:8" s="1" customFormat="1" ht="13.5" customHeight="1" x14ac:dyDescent="0.15">
      <c r="B71" s="33"/>
      <c r="C71" s="5" t="s">
        <v>4</v>
      </c>
      <c r="D71" s="9">
        <f>ROUND(C12*880,0)</f>
        <v>9240</v>
      </c>
      <c r="E71" s="6" t="s">
        <v>5</v>
      </c>
      <c r="F71" s="11">
        <f>ROUND(C12*476,0)</f>
        <v>4998</v>
      </c>
      <c r="G71" s="35">
        <v>100</v>
      </c>
      <c r="H71" s="17"/>
    </row>
    <row r="72" spans="2:8" s="1" customFormat="1" ht="13.5" customHeight="1" x14ac:dyDescent="0.15">
      <c r="B72" s="33"/>
      <c r="C72" s="7" t="s">
        <v>6</v>
      </c>
      <c r="D72" s="10">
        <v>7</v>
      </c>
      <c r="E72" s="8" t="s">
        <v>7</v>
      </c>
      <c r="F72" s="12">
        <f>ROUND(C12*370,0)</f>
        <v>3885</v>
      </c>
      <c r="G72" s="36"/>
      <c r="H72" s="17"/>
    </row>
    <row r="73" spans="2:8" s="1" customFormat="1" ht="14.25" thickBot="1" x14ac:dyDescent="0.2">
      <c r="B73" s="34"/>
      <c r="C73" s="18" t="s">
        <v>16</v>
      </c>
      <c r="D73" s="19" t="s">
        <v>389</v>
      </c>
      <c r="E73" s="20" t="s">
        <v>17</v>
      </c>
      <c r="F73" s="21" t="s">
        <v>33</v>
      </c>
      <c r="G73" s="22" t="s">
        <v>20</v>
      </c>
      <c r="H73" s="23" t="s">
        <v>37</v>
      </c>
    </row>
    <row r="74" spans="2:8" s="1" customFormat="1" x14ac:dyDescent="0.15">
      <c r="B74" s="13" t="s">
        <v>1</v>
      </c>
      <c r="C74" s="14" t="s">
        <v>0</v>
      </c>
      <c r="D74" s="29" t="s">
        <v>76</v>
      </c>
      <c r="E74" s="30"/>
      <c r="F74" s="31"/>
      <c r="G74" s="15" t="s">
        <v>57</v>
      </c>
      <c r="H74" s="16" t="s">
        <v>77</v>
      </c>
    </row>
    <row r="75" spans="2:8" s="1" customFormat="1" x14ac:dyDescent="0.15">
      <c r="B75" s="32">
        <v>300013</v>
      </c>
      <c r="C75" s="2" t="s">
        <v>2</v>
      </c>
      <c r="D75" s="9">
        <f>ROUND(C12*680,0)</f>
        <v>7140</v>
      </c>
      <c r="E75" s="3" t="s">
        <v>3</v>
      </c>
      <c r="F75" s="11">
        <f>ROUND(C12*1936,0)</f>
        <v>20328</v>
      </c>
      <c r="G75" s="4" t="s">
        <v>8</v>
      </c>
      <c r="H75" s="17" t="s">
        <v>78</v>
      </c>
    </row>
    <row r="76" spans="2:8" s="1" customFormat="1" ht="13.5" customHeight="1" x14ac:dyDescent="0.15">
      <c r="B76" s="33"/>
      <c r="C76" s="5" t="s">
        <v>4</v>
      </c>
      <c r="D76" s="9">
        <f>ROUND(C12*880,0)</f>
        <v>9240</v>
      </c>
      <c r="E76" s="6" t="s">
        <v>5</v>
      </c>
      <c r="F76" s="11">
        <f>ROUND(C12*980,0)</f>
        <v>10290</v>
      </c>
      <c r="G76" s="35">
        <v>100</v>
      </c>
      <c r="H76" s="17"/>
    </row>
    <row r="77" spans="2:8" s="1" customFormat="1" ht="13.5" customHeight="1" x14ac:dyDescent="0.15">
      <c r="B77" s="33"/>
      <c r="C77" s="7" t="s">
        <v>6</v>
      </c>
      <c r="D77" s="10">
        <v>4</v>
      </c>
      <c r="E77" s="8" t="s">
        <v>7</v>
      </c>
      <c r="F77" s="12">
        <f>ROUND(C12*370,0)</f>
        <v>3885</v>
      </c>
      <c r="G77" s="36"/>
      <c r="H77" s="17"/>
    </row>
    <row r="78" spans="2:8" s="1" customFormat="1" ht="14.25" thickBot="1" x14ac:dyDescent="0.2">
      <c r="B78" s="34"/>
      <c r="C78" s="18" t="s">
        <v>16</v>
      </c>
      <c r="D78" s="19" t="s">
        <v>244</v>
      </c>
      <c r="E78" s="20" t="s">
        <v>17</v>
      </c>
      <c r="F78" s="21" t="s">
        <v>36</v>
      </c>
      <c r="G78" s="22" t="s">
        <v>20</v>
      </c>
      <c r="H78" s="23" t="s">
        <v>37</v>
      </c>
    </row>
    <row r="79" spans="2:8" s="1" customFormat="1" x14ac:dyDescent="0.15">
      <c r="B79" s="13" t="s">
        <v>1</v>
      </c>
      <c r="C79" s="14" t="s">
        <v>0</v>
      </c>
      <c r="D79" s="29" t="s">
        <v>79</v>
      </c>
      <c r="E79" s="30"/>
      <c r="F79" s="31"/>
      <c r="G79" s="15" t="s">
        <v>57</v>
      </c>
      <c r="H79" s="16" t="s">
        <v>80</v>
      </c>
    </row>
    <row r="80" spans="2:8" s="1" customFormat="1" x14ac:dyDescent="0.15">
      <c r="B80" s="32">
        <v>300014</v>
      </c>
      <c r="C80" s="2" t="s">
        <v>2</v>
      </c>
      <c r="D80" s="9">
        <f>ROUND(C12*680,0)</f>
        <v>7140</v>
      </c>
      <c r="E80" s="3" t="s">
        <v>3</v>
      </c>
      <c r="F80" s="11">
        <f>ROUND(C12*880,0)</f>
        <v>9240</v>
      </c>
      <c r="G80" s="4" t="s">
        <v>8</v>
      </c>
      <c r="H80" s="17" t="s">
        <v>81</v>
      </c>
    </row>
    <row r="81" spans="2:8" s="1" customFormat="1" ht="13.5" customHeight="1" x14ac:dyDescent="0.15">
      <c r="B81" s="33"/>
      <c r="C81" s="5" t="s">
        <v>4</v>
      </c>
      <c r="D81" s="9">
        <f>ROUND(C12*880,0)</f>
        <v>9240</v>
      </c>
      <c r="E81" s="6" t="s">
        <v>5</v>
      </c>
      <c r="F81" s="11">
        <f>ROUND(C12*476,0)</f>
        <v>4998</v>
      </c>
      <c r="G81" s="35">
        <v>100</v>
      </c>
      <c r="H81" s="17"/>
    </row>
    <row r="82" spans="2:8" s="1" customFormat="1" ht="13.5" customHeight="1" x14ac:dyDescent="0.15">
      <c r="B82" s="33"/>
      <c r="C82" s="7" t="s">
        <v>6</v>
      </c>
      <c r="D82" s="10">
        <v>7</v>
      </c>
      <c r="E82" s="8" t="s">
        <v>7</v>
      </c>
      <c r="F82" s="12">
        <f>ROUND(C12*370,0)</f>
        <v>3885</v>
      </c>
      <c r="G82" s="36"/>
      <c r="H82" s="17"/>
    </row>
    <row r="83" spans="2:8" s="1" customFormat="1" ht="14.25" thickBot="1" x14ac:dyDescent="0.2">
      <c r="B83" s="34"/>
      <c r="C83" s="18" t="s">
        <v>16</v>
      </c>
      <c r="D83" s="19" t="s">
        <v>393</v>
      </c>
      <c r="E83" s="20" t="s">
        <v>17</v>
      </c>
      <c r="F83" s="21" t="s">
        <v>54</v>
      </c>
      <c r="G83" s="22" t="s">
        <v>20</v>
      </c>
      <c r="H83" s="23" t="s">
        <v>37</v>
      </c>
    </row>
    <row r="84" spans="2:8" s="1" customFormat="1" x14ac:dyDescent="0.15">
      <c r="B84" s="13" t="s">
        <v>1</v>
      </c>
      <c r="C84" s="14" t="s">
        <v>0</v>
      </c>
      <c r="D84" s="29" t="s">
        <v>83</v>
      </c>
      <c r="E84" s="30"/>
      <c r="F84" s="31"/>
      <c r="G84" s="15" t="s">
        <v>57</v>
      </c>
      <c r="H84" s="16" t="s">
        <v>84</v>
      </c>
    </row>
    <row r="85" spans="2:8" s="1" customFormat="1" x14ac:dyDescent="0.15">
      <c r="B85" s="32">
        <v>300015</v>
      </c>
      <c r="C85" s="2" t="s">
        <v>2</v>
      </c>
      <c r="D85" s="9">
        <f>ROUND(C12*680,0)</f>
        <v>7140</v>
      </c>
      <c r="E85" s="3" t="s">
        <v>3</v>
      </c>
      <c r="F85" s="11">
        <f>ROUND(C12*880,0)</f>
        <v>9240</v>
      </c>
      <c r="G85" s="4" t="s">
        <v>8</v>
      </c>
      <c r="H85" s="17" t="s">
        <v>398</v>
      </c>
    </row>
    <row r="86" spans="2:8" s="1" customFormat="1" ht="13.5" customHeight="1" x14ac:dyDescent="0.15">
      <c r="B86" s="33"/>
      <c r="C86" s="5" t="s">
        <v>4</v>
      </c>
      <c r="D86" s="9">
        <f>ROUND(C12*880,0)</f>
        <v>9240</v>
      </c>
      <c r="E86" s="6" t="s">
        <v>5</v>
      </c>
      <c r="F86" s="11">
        <f>ROUND(C12*476,0)</f>
        <v>4998</v>
      </c>
      <c r="G86" s="35">
        <v>50</v>
      </c>
      <c r="H86" s="17"/>
    </row>
    <row r="87" spans="2:8" s="1" customFormat="1" ht="13.5" customHeight="1" x14ac:dyDescent="0.15">
      <c r="B87" s="33"/>
      <c r="C87" s="7" t="s">
        <v>6</v>
      </c>
      <c r="D87" s="10">
        <v>7</v>
      </c>
      <c r="E87" s="8" t="s">
        <v>7</v>
      </c>
      <c r="F87" s="12">
        <f>ROUND(C12*480,0)</f>
        <v>5040</v>
      </c>
      <c r="G87" s="36"/>
      <c r="H87" s="17"/>
    </row>
    <row r="88" spans="2:8" s="1" customFormat="1" ht="14.25" thickBot="1" x14ac:dyDescent="0.2">
      <c r="B88" s="34"/>
      <c r="C88" s="18" t="s">
        <v>16</v>
      </c>
      <c r="D88" s="19" t="s">
        <v>399</v>
      </c>
      <c r="E88" s="20" t="s">
        <v>17</v>
      </c>
      <c r="F88" s="21" t="s">
        <v>257</v>
      </c>
      <c r="G88" s="22" t="s">
        <v>20</v>
      </c>
      <c r="H88" s="23" t="s">
        <v>37</v>
      </c>
    </row>
    <row r="89" spans="2:8" s="1" customFormat="1" x14ac:dyDescent="0.15">
      <c r="B89" s="13" t="s">
        <v>1</v>
      </c>
      <c r="C89" s="14" t="s">
        <v>0</v>
      </c>
      <c r="D89" s="29" t="s">
        <v>86</v>
      </c>
      <c r="E89" s="30"/>
      <c r="F89" s="31"/>
      <c r="G89" s="15" t="s">
        <v>57</v>
      </c>
      <c r="H89" s="16" t="s">
        <v>35</v>
      </c>
    </row>
    <row r="90" spans="2:8" s="1" customFormat="1" x14ac:dyDescent="0.15">
      <c r="B90" s="32">
        <v>300016</v>
      </c>
      <c r="C90" s="2" t="s">
        <v>2</v>
      </c>
      <c r="D90" s="9">
        <f>ROUND(C12*680,0)</f>
        <v>7140</v>
      </c>
      <c r="E90" s="3" t="s">
        <v>3</v>
      </c>
      <c r="F90" s="11">
        <f>ROUND(C12*1936,0)</f>
        <v>20328</v>
      </c>
      <c r="G90" s="4" t="s">
        <v>8</v>
      </c>
      <c r="H90" s="17" t="s">
        <v>23</v>
      </c>
    </row>
    <row r="91" spans="2:8" s="1" customFormat="1" ht="13.5" customHeight="1" x14ac:dyDescent="0.15">
      <c r="B91" s="33"/>
      <c r="C91" s="5" t="s">
        <v>4</v>
      </c>
      <c r="D91" s="9">
        <f>ROUND(C12*880,0)</f>
        <v>9240</v>
      </c>
      <c r="E91" s="6" t="s">
        <v>5</v>
      </c>
      <c r="F91" s="11">
        <f>ROUND(C12*980,0)</f>
        <v>10290</v>
      </c>
      <c r="G91" s="35">
        <v>100</v>
      </c>
      <c r="H91" s="17"/>
    </row>
    <row r="92" spans="2:8" s="1" customFormat="1" ht="13.5" customHeight="1" x14ac:dyDescent="0.15">
      <c r="B92" s="33"/>
      <c r="C92" s="7" t="s">
        <v>6</v>
      </c>
      <c r="D92" s="10">
        <v>4</v>
      </c>
      <c r="E92" s="8" t="s">
        <v>7</v>
      </c>
      <c r="F92" s="12">
        <f>ROUND(C12*530,0)</f>
        <v>5565</v>
      </c>
      <c r="G92" s="36"/>
      <c r="H92" s="17"/>
    </row>
    <row r="93" spans="2:8" s="1" customFormat="1" ht="14.25" thickBot="1" x14ac:dyDescent="0.2">
      <c r="B93" s="34"/>
      <c r="C93" s="18" t="s">
        <v>16</v>
      </c>
      <c r="D93" s="19" t="s">
        <v>400</v>
      </c>
      <c r="E93" s="20" t="s">
        <v>17</v>
      </c>
      <c r="F93" s="21" t="s">
        <v>36</v>
      </c>
      <c r="G93" s="22" t="s">
        <v>20</v>
      </c>
      <c r="H93" s="23" t="s">
        <v>37</v>
      </c>
    </row>
    <row r="94" spans="2:8" s="1" customFormat="1" x14ac:dyDescent="0.15">
      <c r="B94" s="13" t="s">
        <v>1</v>
      </c>
      <c r="C94" s="14" t="s">
        <v>0</v>
      </c>
      <c r="D94" s="29" t="s">
        <v>87</v>
      </c>
      <c r="E94" s="30"/>
      <c r="F94" s="31"/>
      <c r="G94" s="15" t="s">
        <v>57</v>
      </c>
      <c r="H94" s="16" t="s">
        <v>88</v>
      </c>
    </row>
    <row r="95" spans="2:8" s="1" customFormat="1" x14ac:dyDescent="0.15">
      <c r="B95" s="32">
        <v>300017</v>
      </c>
      <c r="C95" s="2" t="s">
        <v>2</v>
      </c>
      <c r="D95" s="9">
        <f>ROUND(C12*680,0)</f>
        <v>7140</v>
      </c>
      <c r="E95" s="3" t="s">
        <v>3</v>
      </c>
      <c r="F95" s="11">
        <f>ROUND(C12*880,0)</f>
        <v>9240</v>
      </c>
      <c r="G95" s="4" t="s">
        <v>8</v>
      </c>
      <c r="H95" s="17" t="s">
        <v>89</v>
      </c>
    </row>
    <row r="96" spans="2:8" s="1" customFormat="1" ht="13.5" customHeight="1" x14ac:dyDescent="0.15">
      <c r="B96" s="33"/>
      <c r="C96" s="5" t="s">
        <v>4</v>
      </c>
      <c r="D96" s="9">
        <f>ROUND(C12*880,0)</f>
        <v>9240</v>
      </c>
      <c r="E96" s="6" t="s">
        <v>5</v>
      </c>
      <c r="F96" s="11">
        <f>ROUND(C12*476,0)</f>
        <v>4998</v>
      </c>
      <c r="G96" s="35">
        <v>50</v>
      </c>
      <c r="H96" s="17"/>
    </row>
    <row r="97" spans="2:8" s="1" customFormat="1" ht="13.5" customHeight="1" x14ac:dyDescent="0.15">
      <c r="B97" s="33"/>
      <c r="C97" s="7" t="s">
        <v>6</v>
      </c>
      <c r="D97" s="10">
        <v>7</v>
      </c>
      <c r="E97" s="8" t="s">
        <v>7</v>
      </c>
      <c r="F97" s="12">
        <f>ROUND(C12*530,0)</f>
        <v>5565</v>
      </c>
      <c r="G97" s="36"/>
      <c r="H97" s="17"/>
    </row>
    <row r="98" spans="2:8" s="1" customFormat="1" ht="14.25" thickBot="1" x14ac:dyDescent="0.2">
      <c r="B98" s="34"/>
      <c r="C98" s="18" t="s">
        <v>16</v>
      </c>
      <c r="D98" s="19" t="s">
        <v>380</v>
      </c>
      <c r="E98" s="20" t="s">
        <v>17</v>
      </c>
      <c r="F98" s="21" t="s">
        <v>257</v>
      </c>
      <c r="G98" s="22" t="s">
        <v>20</v>
      </c>
      <c r="H98" s="23" t="s">
        <v>37</v>
      </c>
    </row>
    <row r="99" spans="2:8" s="1" customFormat="1" x14ac:dyDescent="0.15">
      <c r="B99" s="13" t="s">
        <v>1</v>
      </c>
      <c r="C99" s="14" t="s">
        <v>0</v>
      </c>
      <c r="D99" s="29" t="s">
        <v>90</v>
      </c>
      <c r="E99" s="30"/>
      <c r="F99" s="31"/>
      <c r="G99" s="15" t="s">
        <v>57</v>
      </c>
      <c r="H99" s="16" t="s">
        <v>91</v>
      </c>
    </row>
    <row r="100" spans="2:8" s="1" customFormat="1" x14ac:dyDescent="0.15">
      <c r="B100" s="32">
        <v>300018</v>
      </c>
      <c r="C100" s="2" t="s">
        <v>2</v>
      </c>
      <c r="D100" s="9">
        <f>ROUND(C12*680,0)</f>
        <v>7140</v>
      </c>
      <c r="E100" s="3" t="s">
        <v>3</v>
      </c>
      <c r="F100" s="11">
        <f>ROUND(C12*880,0)</f>
        <v>9240</v>
      </c>
      <c r="G100" s="4" t="s">
        <v>8</v>
      </c>
      <c r="H100" s="17" t="s">
        <v>92</v>
      </c>
    </row>
    <row r="101" spans="2:8" s="1" customFormat="1" ht="13.5" customHeight="1" x14ac:dyDescent="0.15">
      <c r="B101" s="33"/>
      <c r="C101" s="5" t="s">
        <v>4</v>
      </c>
      <c r="D101" s="9">
        <f>ROUND(C12*880,0)</f>
        <v>9240</v>
      </c>
      <c r="E101" s="6" t="s">
        <v>5</v>
      </c>
      <c r="F101" s="11">
        <f>ROUND(C12*476,0)</f>
        <v>4998</v>
      </c>
      <c r="G101" s="35">
        <v>100</v>
      </c>
      <c r="H101" s="17"/>
    </row>
    <row r="102" spans="2:8" s="1" customFormat="1" ht="13.5" customHeight="1" x14ac:dyDescent="0.15">
      <c r="B102" s="33"/>
      <c r="C102" s="7" t="s">
        <v>6</v>
      </c>
      <c r="D102" s="10">
        <v>7</v>
      </c>
      <c r="E102" s="8" t="s">
        <v>7</v>
      </c>
      <c r="F102" s="12">
        <f>ROUND(C12*480,0)</f>
        <v>5040</v>
      </c>
      <c r="G102" s="36"/>
      <c r="H102" s="17"/>
    </row>
    <row r="103" spans="2:8" s="1" customFormat="1" ht="14.25" thickBot="1" x14ac:dyDescent="0.2">
      <c r="B103" s="34"/>
      <c r="C103" s="18" t="s">
        <v>16</v>
      </c>
      <c r="D103" s="19" t="s">
        <v>244</v>
      </c>
      <c r="E103" s="20" t="s">
        <v>17</v>
      </c>
      <c r="F103" s="21" t="s">
        <v>93</v>
      </c>
      <c r="G103" s="22" t="s">
        <v>20</v>
      </c>
      <c r="H103" s="23" t="s">
        <v>37</v>
      </c>
    </row>
    <row r="104" spans="2:8" s="1" customFormat="1" x14ac:dyDescent="0.15">
      <c r="B104" s="13" t="s">
        <v>1</v>
      </c>
      <c r="C104" s="14" t="s">
        <v>0</v>
      </c>
      <c r="D104" s="29" t="s">
        <v>94</v>
      </c>
      <c r="E104" s="30"/>
      <c r="F104" s="31"/>
      <c r="G104" s="15" t="s">
        <v>57</v>
      </c>
      <c r="H104" s="16" t="s">
        <v>95</v>
      </c>
    </row>
    <row r="105" spans="2:8" s="1" customFormat="1" x14ac:dyDescent="0.15">
      <c r="B105" s="32">
        <v>300019</v>
      </c>
      <c r="C105" s="2" t="s">
        <v>2</v>
      </c>
      <c r="D105" s="9">
        <f>ROUND(C12*680,0)</f>
        <v>7140</v>
      </c>
      <c r="E105" s="3" t="s">
        <v>3</v>
      </c>
      <c r="F105" s="11">
        <f>ROUND(C12*880,0)</f>
        <v>9240</v>
      </c>
      <c r="G105" s="4" t="s">
        <v>8</v>
      </c>
      <c r="H105" s="17" t="s">
        <v>96</v>
      </c>
    </row>
    <row r="106" spans="2:8" s="1" customFormat="1" ht="13.5" customHeight="1" x14ac:dyDescent="0.15">
      <c r="B106" s="33"/>
      <c r="C106" s="5" t="s">
        <v>4</v>
      </c>
      <c r="D106" s="9">
        <f>ROUND(C12*880,0)</f>
        <v>9240</v>
      </c>
      <c r="E106" s="6" t="s">
        <v>5</v>
      </c>
      <c r="F106" s="11">
        <f>ROUND(C12*476,0)</f>
        <v>4998</v>
      </c>
      <c r="G106" s="35">
        <v>50</v>
      </c>
      <c r="H106" s="17"/>
    </row>
    <row r="107" spans="2:8" s="1" customFormat="1" ht="13.5" customHeight="1" x14ac:dyDescent="0.15">
      <c r="B107" s="33"/>
      <c r="C107" s="7" t="s">
        <v>6</v>
      </c>
      <c r="D107" s="10">
        <v>7</v>
      </c>
      <c r="E107" s="8" t="s">
        <v>7</v>
      </c>
      <c r="F107" s="12">
        <f>ROUND(C12*480,0)</f>
        <v>5040</v>
      </c>
      <c r="G107" s="36"/>
      <c r="H107" s="17"/>
    </row>
    <row r="108" spans="2:8" s="1" customFormat="1" ht="14.25" thickBot="1" x14ac:dyDescent="0.2">
      <c r="B108" s="34"/>
      <c r="C108" s="18" t="s">
        <v>16</v>
      </c>
      <c r="D108" s="19" t="s">
        <v>401</v>
      </c>
      <c r="E108" s="20" t="s">
        <v>17</v>
      </c>
      <c r="F108" s="21" t="s">
        <v>294</v>
      </c>
      <c r="G108" s="22" t="s">
        <v>20</v>
      </c>
      <c r="H108" s="23" t="s">
        <v>72</v>
      </c>
    </row>
    <row r="109" spans="2:8" s="1" customFormat="1" x14ac:dyDescent="0.15">
      <c r="B109" s="13" t="s">
        <v>1</v>
      </c>
      <c r="C109" s="14" t="s">
        <v>0</v>
      </c>
      <c r="D109" s="29" t="s">
        <v>97</v>
      </c>
      <c r="E109" s="30"/>
      <c r="F109" s="31"/>
      <c r="G109" s="15" t="s">
        <v>57</v>
      </c>
      <c r="H109" s="16" t="s">
        <v>98</v>
      </c>
    </row>
    <row r="110" spans="2:8" s="1" customFormat="1" x14ac:dyDescent="0.15">
      <c r="B110" s="32">
        <v>300020</v>
      </c>
      <c r="C110" s="2" t="s">
        <v>2</v>
      </c>
      <c r="D110" s="9">
        <f>ROUND(C12*680,0)</f>
        <v>7140</v>
      </c>
      <c r="E110" s="3" t="s">
        <v>3</v>
      </c>
      <c r="F110" s="11">
        <f>ROUND(C12*1936,0)</f>
        <v>20328</v>
      </c>
      <c r="G110" s="4" t="s">
        <v>8</v>
      </c>
      <c r="H110" s="17" t="s">
        <v>99</v>
      </c>
    </row>
    <row r="111" spans="2:8" s="1" customFormat="1" ht="13.5" customHeight="1" x14ac:dyDescent="0.15">
      <c r="B111" s="33"/>
      <c r="C111" s="5" t="s">
        <v>4</v>
      </c>
      <c r="D111" s="9">
        <f>ROUND(C12*880,0)</f>
        <v>9240</v>
      </c>
      <c r="E111" s="6" t="s">
        <v>5</v>
      </c>
      <c r="F111" s="11">
        <f>ROUND(C12*980,0)</f>
        <v>10290</v>
      </c>
      <c r="G111" s="35">
        <v>100</v>
      </c>
      <c r="H111" s="17"/>
    </row>
    <row r="112" spans="2:8" s="1" customFormat="1" ht="13.5" customHeight="1" x14ac:dyDescent="0.15">
      <c r="B112" s="33"/>
      <c r="C112" s="7" t="s">
        <v>6</v>
      </c>
      <c r="D112" s="10">
        <v>4</v>
      </c>
      <c r="E112" s="8" t="s">
        <v>7</v>
      </c>
      <c r="F112" s="12">
        <f>ROUND(C12*370,0)</f>
        <v>3885</v>
      </c>
      <c r="G112" s="36"/>
      <c r="H112" s="17"/>
    </row>
    <row r="113" spans="2:8" s="1" customFormat="1" ht="14.25" thickBot="1" x14ac:dyDescent="0.2">
      <c r="B113" s="34"/>
      <c r="C113" s="18" t="s">
        <v>16</v>
      </c>
      <c r="D113" s="19" t="s">
        <v>402</v>
      </c>
      <c r="E113" s="20" t="s">
        <v>17</v>
      </c>
      <c r="F113" s="21" t="s">
        <v>100</v>
      </c>
      <c r="G113" s="22" t="s">
        <v>20</v>
      </c>
      <c r="H113" s="23" t="s">
        <v>37</v>
      </c>
    </row>
    <row r="114" spans="2:8" s="1" customFormat="1" x14ac:dyDescent="0.15">
      <c r="B114" s="13" t="s">
        <v>1</v>
      </c>
      <c r="C114" s="14" t="s">
        <v>0</v>
      </c>
      <c r="D114" s="29" t="s">
        <v>101</v>
      </c>
      <c r="E114" s="30"/>
      <c r="F114" s="31"/>
      <c r="G114" s="15" t="s">
        <v>57</v>
      </c>
      <c r="H114" s="16" t="s">
        <v>41</v>
      </c>
    </row>
    <row r="115" spans="2:8" s="1" customFormat="1" x14ac:dyDescent="0.15">
      <c r="B115" s="32">
        <v>300021</v>
      </c>
      <c r="C115" s="2" t="s">
        <v>2</v>
      </c>
      <c r="D115" s="9">
        <f>ROUND(C12*680,0)</f>
        <v>7140</v>
      </c>
      <c r="E115" s="3" t="s">
        <v>3</v>
      </c>
      <c r="F115" s="11">
        <f>ROUND(C12*880,0)</f>
        <v>9240</v>
      </c>
      <c r="G115" s="4" t="s">
        <v>8</v>
      </c>
      <c r="H115" s="17" t="s">
        <v>25</v>
      </c>
    </row>
    <row r="116" spans="2:8" s="1" customFormat="1" ht="13.5" customHeight="1" x14ac:dyDescent="0.15">
      <c r="B116" s="33"/>
      <c r="C116" s="5" t="s">
        <v>4</v>
      </c>
      <c r="D116" s="9">
        <f>ROUND(C12*880,0)</f>
        <v>9240</v>
      </c>
      <c r="E116" s="6" t="s">
        <v>5</v>
      </c>
      <c r="F116" s="11">
        <f>ROUND(C12*476,0)</f>
        <v>4998</v>
      </c>
      <c r="G116" s="35">
        <v>100</v>
      </c>
      <c r="H116" s="17"/>
    </row>
    <row r="117" spans="2:8" s="1" customFormat="1" ht="13.5" customHeight="1" x14ac:dyDescent="0.15">
      <c r="B117" s="33"/>
      <c r="C117" s="7" t="s">
        <v>6</v>
      </c>
      <c r="D117" s="10">
        <v>7</v>
      </c>
      <c r="E117" s="8" t="s">
        <v>7</v>
      </c>
      <c r="F117" s="12">
        <f>ROUND(C12*530,0)</f>
        <v>5565</v>
      </c>
      <c r="G117" s="36"/>
      <c r="H117" s="17"/>
    </row>
    <row r="118" spans="2:8" s="1" customFormat="1" ht="14.25" thickBot="1" x14ac:dyDescent="0.2">
      <c r="B118" s="34"/>
      <c r="C118" s="18" t="s">
        <v>16</v>
      </c>
      <c r="D118" s="19" t="s">
        <v>371</v>
      </c>
      <c r="E118" s="20" t="s">
        <v>17</v>
      </c>
      <c r="F118" s="21" t="s">
        <v>82</v>
      </c>
      <c r="G118" s="22" t="s">
        <v>20</v>
      </c>
      <c r="H118" s="23" t="s">
        <v>37</v>
      </c>
    </row>
    <row r="119" spans="2:8" s="1" customFormat="1" x14ac:dyDescent="0.15">
      <c r="B119" s="13" t="s">
        <v>1</v>
      </c>
      <c r="C119" s="14" t="s">
        <v>0</v>
      </c>
      <c r="D119" s="29" t="s">
        <v>102</v>
      </c>
      <c r="E119" s="30"/>
      <c r="F119" s="31"/>
      <c r="G119" s="15" t="s">
        <v>57</v>
      </c>
      <c r="H119" s="16" t="s">
        <v>50</v>
      </c>
    </row>
    <row r="120" spans="2:8" s="1" customFormat="1" x14ac:dyDescent="0.15">
      <c r="B120" s="32">
        <v>300022</v>
      </c>
      <c r="C120" s="2" t="s">
        <v>2</v>
      </c>
      <c r="D120" s="9">
        <f>ROUND(C12*680,0)</f>
        <v>7140</v>
      </c>
      <c r="E120" s="3" t="s">
        <v>3</v>
      </c>
      <c r="F120" s="11">
        <f>ROUND(C12*1936,0)</f>
        <v>20328</v>
      </c>
      <c r="G120" s="4" t="s">
        <v>8</v>
      </c>
      <c r="H120" s="17" t="s">
        <v>29</v>
      </c>
    </row>
    <row r="121" spans="2:8" s="1" customFormat="1" ht="13.5" customHeight="1" x14ac:dyDescent="0.15">
      <c r="B121" s="33"/>
      <c r="C121" s="5" t="s">
        <v>4</v>
      </c>
      <c r="D121" s="9">
        <f>ROUND(C12*880,0)</f>
        <v>9240</v>
      </c>
      <c r="E121" s="6" t="s">
        <v>5</v>
      </c>
      <c r="F121" s="11">
        <f>ROUND(C12*980,0)</f>
        <v>10290</v>
      </c>
      <c r="G121" s="35">
        <v>100</v>
      </c>
      <c r="H121" s="17"/>
    </row>
    <row r="122" spans="2:8" s="1" customFormat="1" ht="13.5" customHeight="1" x14ac:dyDescent="0.15">
      <c r="B122" s="33"/>
      <c r="C122" s="7" t="s">
        <v>6</v>
      </c>
      <c r="D122" s="10">
        <v>4</v>
      </c>
      <c r="E122" s="8" t="s">
        <v>7</v>
      </c>
      <c r="F122" s="12">
        <f>ROUND(C12*370,0)</f>
        <v>3885</v>
      </c>
      <c r="G122" s="36"/>
      <c r="H122" s="17"/>
    </row>
    <row r="123" spans="2:8" s="1" customFormat="1" ht="14.25" thickBot="1" x14ac:dyDescent="0.2">
      <c r="B123" s="34"/>
      <c r="C123" s="18" t="s">
        <v>16</v>
      </c>
      <c r="D123" s="19" t="s">
        <v>399</v>
      </c>
      <c r="E123" s="20" t="s">
        <v>17</v>
      </c>
      <c r="F123" s="21" t="s">
        <v>293</v>
      </c>
      <c r="G123" s="22" t="s">
        <v>20</v>
      </c>
      <c r="H123" s="23" t="s">
        <v>37</v>
      </c>
    </row>
    <row r="124" spans="2:8" s="1" customFormat="1" x14ac:dyDescent="0.15">
      <c r="B124" s="13" t="s">
        <v>1</v>
      </c>
      <c r="C124" s="14" t="s">
        <v>0</v>
      </c>
      <c r="D124" s="29" t="s">
        <v>103</v>
      </c>
      <c r="E124" s="30"/>
      <c r="F124" s="31"/>
      <c r="G124" s="15" t="s">
        <v>57</v>
      </c>
      <c r="H124" s="16" t="s">
        <v>104</v>
      </c>
    </row>
    <row r="125" spans="2:8" s="1" customFormat="1" x14ac:dyDescent="0.15">
      <c r="B125" s="32">
        <v>300023</v>
      </c>
      <c r="C125" s="2" t="s">
        <v>2</v>
      </c>
      <c r="D125" s="9">
        <f>ROUND(C12*680,0)</f>
        <v>7140</v>
      </c>
      <c r="E125" s="3" t="s">
        <v>3</v>
      </c>
      <c r="F125" s="11">
        <f>ROUND(C12*880,0)</f>
        <v>9240</v>
      </c>
      <c r="G125" s="4" t="s">
        <v>8</v>
      </c>
      <c r="H125" s="17" t="s">
        <v>105</v>
      </c>
    </row>
    <row r="126" spans="2:8" s="1" customFormat="1" ht="13.5" customHeight="1" x14ac:dyDescent="0.15">
      <c r="B126" s="33"/>
      <c r="C126" s="5" t="s">
        <v>4</v>
      </c>
      <c r="D126" s="9">
        <f>ROUND(C12*880,0)</f>
        <v>9240</v>
      </c>
      <c r="E126" s="6" t="s">
        <v>5</v>
      </c>
      <c r="F126" s="11">
        <f>ROUND(C12*476,0)</f>
        <v>4998</v>
      </c>
      <c r="G126" s="35">
        <v>50</v>
      </c>
      <c r="H126" s="17"/>
    </row>
    <row r="127" spans="2:8" s="1" customFormat="1" ht="13.5" customHeight="1" x14ac:dyDescent="0.15">
      <c r="B127" s="33"/>
      <c r="C127" s="7" t="s">
        <v>6</v>
      </c>
      <c r="D127" s="10">
        <v>7</v>
      </c>
      <c r="E127" s="8" t="s">
        <v>7</v>
      </c>
      <c r="F127" s="12">
        <f>ROUND(C12*530,0)</f>
        <v>5565</v>
      </c>
      <c r="G127" s="36"/>
      <c r="H127" s="17"/>
    </row>
    <row r="128" spans="2:8" s="1" customFormat="1" ht="14.25" thickBot="1" x14ac:dyDescent="0.2">
      <c r="B128" s="34"/>
      <c r="C128" s="18" t="s">
        <v>16</v>
      </c>
      <c r="D128" s="19" t="s">
        <v>380</v>
      </c>
      <c r="E128" s="20" t="s">
        <v>17</v>
      </c>
      <c r="F128" s="21" t="s">
        <v>51</v>
      </c>
      <c r="G128" s="22" t="s">
        <v>20</v>
      </c>
      <c r="H128" s="23" t="s">
        <v>106</v>
      </c>
    </row>
    <row r="129" spans="2:8" s="1" customFormat="1" x14ac:dyDescent="0.15">
      <c r="B129" s="13" t="s">
        <v>1</v>
      </c>
      <c r="C129" s="14" t="s">
        <v>0</v>
      </c>
      <c r="D129" s="29" t="s">
        <v>107</v>
      </c>
      <c r="E129" s="30"/>
      <c r="F129" s="31"/>
      <c r="G129" s="15" t="s">
        <v>57</v>
      </c>
      <c r="H129" s="16" t="s">
        <v>108</v>
      </c>
    </row>
    <row r="130" spans="2:8" s="1" customFormat="1" x14ac:dyDescent="0.15">
      <c r="B130" s="32">
        <v>300024</v>
      </c>
      <c r="C130" s="2" t="s">
        <v>2</v>
      </c>
      <c r="D130" s="9">
        <f>ROUND(C12*680,0)</f>
        <v>7140</v>
      </c>
      <c r="E130" s="3" t="s">
        <v>3</v>
      </c>
      <c r="F130" s="11">
        <f>ROUND(C12*880,0)</f>
        <v>9240</v>
      </c>
      <c r="G130" s="4" t="s">
        <v>8</v>
      </c>
      <c r="H130" s="17" t="s">
        <v>109</v>
      </c>
    </row>
    <row r="131" spans="2:8" s="1" customFormat="1" ht="13.5" customHeight="1" x14ac:dyDescent="0.15">
      <c r="B131" s="33"/>
      <c r="C131" s="5" t="s">
        <v>4</v>
      </c>
      <c r="D131" s="9">
        <f>ROUND(C12*880,0)</f>
        <v>9240</v>
      </c>
      <c r="E131" s="6" t="s">
        <v>5</v>
      </c>
      <c r="F131" s="11">
        <f>ROUND(C12*476,0)</f>
        <v>4998</v>
      </c>
      <c r="G131" s="35">
        <v>100</v>
      </c>
      <c r="H131" s="17"/>
    </row>
    <row r="132" spans="2:8" s="1" customFormat="1" ht="13.5" customHeight="1" x14ac:dyDescent="0.15">
      <c r="B132" s="33"/>
      <c r="C132" s="7" t="s">
        <v>6</v>
      </c>
      <c r="D132" s="10">
        <v>7</v>
      </c>
      <c r="E132" s="8" t="s">
        <v>7</v>
      </c>
      <c r="F132" s="12">
        <f>ROUND(C12*480,0)</f>
        <v>5040</v>
      </c>
      <c r="G132" s="36"/>
      <c r="H132" s="17"/>
    </row>
    <row r="133" spans="2:8" s="1" customFormat="1" ht="14.25" thickBot="1" x14ac:dyDescent="0.2">
      <c r="B133" s="34"/>
      <c r="C133" s="18" t="s">
        <v>16</v>
      </c>
      <c r="D133" s="19" t="s">
        <v>377</v>
      </c>
      <c r="E133" s="20" t="s">
        <v>17</v>
      </c>
      <c r="F133" s="21" t="s">
        <v>100</v>
      </c>
      <c r="G133" s="22" t="s">
        <v>20</v>
      </c>
      <c r="H133" s="23" t="s">
        <v>37</v>
      </c>
    </row>
    <row r="134" spans="2:8" s="1" customFormat="1" x14ac:dyDescent="0.15">
      <c r="B134" s="13" t="s">
        <v>1</v>
      </c>
      <c r="C134" s="14" t="s">
        <v>0</v>
      </c>
      <c r="D134" s="29" t="s">
        <v>110</v>
      </c>
      <c r="E134" s="30"/>
      <c r="F134" s="31"/>
      <c r="G134" s="15" t="s">
        <v>57</v>
      </c>
      <c r="H134" s="16" t="s">
        <v>111</v>
      </c>
    </row>
    <row r="135" spans="2:8" s="1" customFormat="1" x14ac:dyDescent="0.15">
      <c r="B135" s="32">
        <v>300025</v>
      </c>
      <c r="C135" s="2" t="s">
        <v>2</v>
      </c>
      <c r="D135" s="9">
        <f>ROUND(C12*680,0)</f>
        <v>7140</v>
      </c>
      <c r="E135" s="3" t="s">
        <v>3</v>
      </c>
      <c r="F135" s="11">
        <f>ROUND(C12*880,0)</f>
        <v>9240</v>
      </c>
      <c r="G135" s="4" t="s">
        <v>8</v>
      </c>
      <c r="H135" s="17" t="s">
        <v>112</v>
      </c>
    </row>
    <row r="136" spans="2:8" s="1" customFormat="1" ht="13.5" customHeight="1" x14ac:dyDescent="0.15">
      <c r="B136" s="33"/>
      <c r="C136" s="5" t="s">
        <v>4</v>
      </c>
      <c r="D136" s="9">
        <f>ROUND(C12*880,0)</f>
        <v>9240</v>
      </c>
      <c r="E136" s="6" t="s">
        <v>5</v>
      </c>
      <c r="F136" s="11">
        <f>ROUND(C12*476,0)</f>
        <v>4998</v>
      </c>
      <c r="G136" s="35">
        <v>100</v>
      </c>
      <c r="H136" s="17"/>
    </row>
    <row r="137" spans="2:8" s="1" customFormat="1" ht="13.5" customHeight="1" x14ac:dyDescent="0.15">
      <c r="B137" s="33"/>
      <c r="C137" s="7" t="s">
        <v>6</v>
      </c>
      <c r="D137" s="10">
        <v>7</v>
      </c>
      <c r="E137" s="8" t="s">
        <v>7</v>
      </c>
      <c r="F137" s="12">
        <f>ROUND(C12*370,0)</f>
        <v>3885</v>
      </c>
      <c r="G137" s="36"/>
      <c r="H137" s="17"/>
    </row>
    <row r="138" spans="2:8" s="1" customFormat="1" ht="14.25" thickBot="1" x14ac:dyDescent="0.2">
      <c r="B138" s="34"/>
      <c r="C138" s="18" t="s">
        <v>16</v>
      </c>
      <c r="D138" s="19" t="s">
        <v>377</v>
      </c>
      <c r="E138" s="20" t="s">
        <v>17</v>
      </c>
      <c r="F138" s="21" t="s">
        <v>56</v>
      </c>
      <c r="G138" s="22" t="s">
        <v>20</v>
      </c>
      <c r="H138" s="23" t="s">
        <v>114</v>
      </c>
    </row>
    <row r="139" spans="2:8" s="1" customFormat="1" x14ac:dyDescent="0.15">
      <c r="B139" s="13" t="s">
        <v>1</v>
      </c>
      <c r="C139" s="14" t="s">
        <v>0</v>
      </c>
      <c r="D139" s="29" t="s">
        <v>115</v>
      </c>
      <c r="E139" s="30"/>
      <c r="F139" s="31"/>
      <c r="G139" s="15" t="s">
        <v>57</v>
      </c>
      <c r="H139" s="16" t="s">
        <v>116</v>
      </c>
    </row>
    <row r="140" spans="2:8" s="1" customFormat="1" x14ac:dyDescent="0.15">
      <c r="B140" s="32">
        <v>300026</v>
      </c>
      <c r="C140" s="2" t="s">
        <v>2</v>
      </c>
      <c r="D140" s="9">
        <f>ROUND(C12*680,0)</f>
        <v>7140</v>
      </c>
      <c r="E140" s="3" t="s">
        <v>3</v>
      </c>
      <c r="F140" s="11">
        <f>ROUND(C12*1936,0)</f>
        <v>20328</v>
      </c>
      <c r="G140" s="4" t="s">
        <v>8</v>
      </c>
      <c r="H140" s="17" t="s">
        <v>117</v>
      </c>
    </row>
    <row r="141" spans="2:8" s="1" customFormat="1" ht="13.5" customHeight="1" x14ac:dyDescent="0.15">
      <c r="B141" s="33"/>
      <c r="C141" s="5" t="s">
        <v>4</v>
      </c>
      <c r="D141" s="9">
        <f>ROUND(C12*880,0)</f>
        <v>9240</v>
      </c>
      <c r="E141" s="6" t="s">
        <v>5</v>
      </c>
      <c r="F141" s="11">
        <f>ROUND(C12*980,0)</f>
        <v>10290</v>
      </c>
      <c r="G141" s="35">
        <v>100</v>
      </c>
      <c r="H141" s="17"/>
    </row>
    <row r="142" spans="2:8" s="1" customFormat="1" ht="13.5" customHeight="1" x14ac:dyDescent="0.15">
      <c r="B142" s="33"/>
      <c r="C142" s="7" t="s">
        <v>6</v>
      </c>
      <c r="D142" s="10">
        <v>4</v>
      </c>
      <c r="E142" s="8" t="s">
        <v>7</v>
      </c>
      <c r="F142" s="12">
        <f>ROUND(C12*530,0)</f>
        <v>5565</v>
      </c>
      <c r="G142" s="36"/>
      <c r="H142" s="17"/>
    </row>
    <row r="143" spans="2:8" s="1" customFormat="1" ht="14.25" thickBot="1" x14ac:dyDescent="0.2">
      <c r="B143" s="34"/>
      <c r="C143" s="18" t="s">
        <v>16</v>
      </c>
      <c r="D143" s="19" t="s">
        <v>376</v>
      </c>
      <c r="E143" s="20" t="s">
        <v>17</v>
      </c>
      <c r="F143" s="21" t="s">
        <v>49</v>
      </c>
      <c r="G143" s="22" t="s">
        <v>20</v>
      </c>
      <c r="H143" s="23" t="s">
        <v>37</v>
      </c>
    </row>
    <row r="144" spans="2:8" s="1" customFormat="1" x14ac:dyDescent="0.15">
      <c r="B144" s="13" t="s">
        <v>1</v>
      </c>
      <c r="C144" s="14" t="s">
        <v>0</v>
      </c>
      <c r="D144" s="29" t="s">
        <v>118</v>
      </c>
      <c r="E144" s="30"/>
      <c r="F144" s="31"/>
      <c r="G144" s="15" t="s">
        <v>57</v>
      </c>
      <c r="H144" s="16" t="s">
        <v>119</v>
      </c>
    </row>
    <row r="145" spans="2:8" s="1" customFormat="1" x14ac:dyDescent="0.15">
      <c r="B145" s="32">
        <v>300027</v>
      </c>
      <c r="C145" s="2" t="s">
        <v>2</v>
      </c>
      <c r="D145" s="9">
        <f>ROUND(C12*680,0)</f>
        <v>7140</v>
      </c>
      <c r="E145" s="3" t="s">
        <v>3</v>
      </c>
      <c r="F145" s="11">
        <f>ROUND(C12*880,0)</f>
        <v>9240</v>
      </c>
      <c r="G145" s="4" t="s">
        <v>8</v>
      </c>
      <c r="H145" s="17" t="s">
        <v>120</v>
      </c>
    </row>
    <row r="146" spans="2:8" s="1" customFormat="1" ht="13.5" customHeight="1" x14ac:dyDescent="0.15">
      <c r="B146" s="33"/>
      <c r="C146" s="5" t="s">
        <v>4</v>
      </c>
      <c r="D146" s="9">
        <f>ROUND(C12*880,0)</f>
        <v>9240</v>
      </c>
      <c r="E146" s="6" t="s">
        <v>5</v>
      </c>
      <c r="F146" s="11">
        <f>ROUND(C12*476,0)</f>
        <v>4998</v>
      </c>
      <c r="G146" s="35">
        <v>100</v>
      </c>
      <c r="H146" s="17"/>
    </row>
    <row r="147" spans="2:8" s="1" customFormat="1" ht="13.5" customHeight="1" x14ac:dyDescent="0.15">
      <c r="B147" s="33"/>
      <c r="C147" s="7" t="s">
        <v>6</v>
      </c>
      <c r="D147" s="10">
        <v>7</v>
      </c>
      <c r="E147" s="8" t="s">
        <v>7</v>
      </c>
      <c r="F147" s="12">
        <f>ROUND(C12*370,0)</f>
        <v>3885</v>
      </c>
      <c r="G147" s="36"/>
      <c r="H147" s="17"/>
    </row>
    <row r="148" spans="2:8" s="1" customFormat="1" ht="14.25" thickBot="1" x14ac:dyDescent="0.2">
      <c r="B148" s="34"/>
      <c r="C148" s="18" t="s">
        <v>16</v>
      </c>
      <c r="D148" s="19" t="s">
        <v>371</v>
      </c>
      <c r="E148" s="20" t="s">
        <v>17</v>
      </c>
      <c r="F148" s="21" t="s">
        <v>82</v>
      </c>
      <c r="G148" s="22" t="s">
        <v>20</v>
      </c>
      <c r="H148" s="23" t="s">
        <v>121</v>
      </c>
    </row>
    <row r="149" spans="2:8" s="1" customFormat="1" x14ac:dyDescent="0.15">
      <c r="B149" s="13" t="s">
        <v>1</v>
      </c>
      <c r="C149" s="14" t="s">
        <v>0</v>
      </c>
      <c r="D149" s="29" t="s">
        <v>122</v>
      </c>
      <c r="E149" s="30"/>
      <c r="F149" s="31"/>
      <c r="G149" s="15" t="s">
        <v>57</v>
      </c>
      <c r="H149" s="16" t="s">
        <v>55</v>
      </c>
    </row>
    <row r="150" spans="2:8" s="1" customFormat="1" x14ac:dyDescent="0.15">
      <c r="B150" s="32">
        <v>300028</v>
      </c>
      <c r="C150" s="2" t="s">
        <v>2</v>
      </c>
      <c r="D150" s="9">
        <f>ROUND(C12*680,0)</f>
        <v>7140</v>
      </c>
      <c r="E150" s="3" t="s">
        <v>3</v>
      </c>
      <c r="F150" s="11">
        <f>ROUND(C12*880,0)</f>
        <v>9240</v>
      </c>
      <c r="G150" s="4" t="s">
        <v>8</v>
      </c>
      <c r="H150" s="17" t="s">
        <v>30</v>
      </c>
    </row>
    <row r="151" spans="2:8" s="1" customFormat="1" ht="13.5" customHeight="1" x14ac:dyDescent="0.15">
      <c r="B151" s="33"/>
      <c r="C151" s="5" t="s">
        <v>4</v>
      </c>
      <c r="D151" s="9">
        <f>ROUND(C12*880,0)</f>
        <v>9240</v>
      </c>
      <c r="E151" s="6" t="s">
        <v>5</v>
      </c>
      <c r="F151" s="11">
        <f>ROUND(C12*476,0)</f>
        <v>4998</v>
      </c>
      <c r="G151" s="35">
        <v>100</v>
      </c>
      <c r="H151" s="17"/>
    </row>
    <row r="152" spans="2:8" s="1" customFormat="1" ht="13.5" customHeight="1" x14ac:dyDescent="0.15">
      <c r="B152" s="33"/>
      <c r="C152" s="7" t="s">
        <v>6</v>
      </c>
      <c r="D152" s="10">
        <v>7</v>
      </c>
      <c r="E152" s="8" t="s">
        <v>7</v>
      </c>
      <c r="F152" s="12">
        <f>ROUND(C12*480,0)</f>
        <v>5040</v>
      </c>
      <c r="G152" s="36"/>
      <c r="H152" s="17"/>
    </row>
    <row r="153" spans="2:8" s="1" customFormat="1" ht="14.25" thickBot="1" x14ac:dyDescent="0.2">
      <c r="B153" s="34"/>
      <c r="C153" s="18" t="s">
        <v>16</v>
      </c>
      <c r="D153" s="19" t="s">
        <v>390</v>
      </c>
      <c r="E153" s="20" t="s">
        <v>17</v>
      </c>
      <c r="F153" s="21" t="s">
        <v>396</v>
      </c>
      <c r="G153" s="22" t="s">
        <v>20</v>
      </c>
      <c r="H153" s="23" t="s">
        <v>37</v>
      </c>
    </row>
    <row r="154" spans="2:8" s="1" customFormat="1" x14ac:dyDescent="0.15">
      <c r="B154" s="13" t="s">
        <v>1</v>
      </c>
      <c r="C154" s="14" t="s">
        <v>0</v>
      </c>
      <c r="D154" s="29" t="s">
        <v>123</v>
      </c>
      <c r="E154" s="30"/>
      <c r="F154" s="31"/>
      <c r="G154" s="15" t="s">
        <v>57</v>
      </c>
      <c r="H154" s="16" t="s">
        <v>124</v>
      </c>
    </row>
    <row r="155" spans="2:8" s="1" customFormat="1" x14ac:dyDescent="0.15">
      <c r="B155" s="32">
        <v>300029</v>
      </c>
      <c r="C155" s="2" t="s">
        <v>2</v>
      </c>
      <c r="D155" s="9">
        <f>ROUND(C12*680,0)</f>
        <v>7140</v>
      </c>
      <c r="E155" s="3" t="s">
        <v>3</v>
      </c>
      <c r="F155" s="11">
        <f>ROUND(C12*880,0)</f>
        <v>9240</v>
      </c>
      <c r="G155" s="4" t="s">
        <v>8</v>
      </c>
      <c r="H155" s="17" t="s">
        <v>403</v>
      </c>
    </row>
    <row r="156" spans="2:8" s="1" customFormat="1" ht="13.5" customHeight="1" x14ac:dyDescent="0.15">
      <c r="B156" s="33"/>
      <c r="C156" s="5" t="s">
        <v>4</v>
      </c>
      <c r="D156" s="9">
        <f>ROUND(C12*880,0)</f>
        <v>9240</v>
      </c>
      <c r="E156" s="6" t="s">
        <v>5</v>
      </c>
      <c r="F156" s="11">
        <f>ROUND(C12*476,0)</f>
        <v>4998</v>
      </c>
      <c r="G156" s="35">
        <v>30</v>
      </c>
      <c r="H156" s="17"/>
    </row>
    <row r="157" spans="2:8" s="1" customFormat="1" ht="13.5" customHeight="1" x14ac:dyDescent="0.15">
      <c r="B157" s="33"/>
      <c r="C157" s="7" t="s">
        <v>6</v>
      </c>
      <c r="D157" s="10">
        <v>7</v>
      </c>
      <c r="E157" s="8" t="s">
        <v>7</v>
      </c>
      <c r="F157" s="12">
        <f>ROUND(C12*480,0)</f>
        <v>5040</v>
      </c>
      <c r="G157" s="36"/>
      <c r="H157" s="17"/>
    </row>
    <row r="158" spans="2:8" s="1" customFormat="1" ht="14.25" thickBot="1" x14ac:dyDescent="0.2">
      <c r="B158" s="34"/>
      <c r="C158" s="18" t="s">
        <v>16</v>
      </c>
      <c r="D158" s="19" t="s">
        <v>399</v>
      </c>
      <c r="E158" s="20" t="s">
        <v>17</v>
      </c>
      <c r="F158" s="21" t="s">
        <v>82</v>
      </c>
      <c r="G158" s="22" t="s">
        <v>20</v>
      </c>
      <c r="H158" s="23" t="s">
        <v>125</v>
      </c>
    </row>
    <row r="159" spans="2:8" s="1" customFormat="1" x14ac:dyDescent="0.15">
      <c r="B159" s="13" t="s">
        <v>1</v>
      </c>
      <c r="C159" s="14" t="s">
        <v>0</v>
      </c>
      <c r="D159" s="29" t="s">
        <v>126</v>
      </c>
      <c r="E159" s="30"/>
      <c r="F159" s="31"/>
      <c r="G159" s="15" t="s">
        <v>57</v>
      </c>
      <c r="H159" s="16" t="s">
        <v>80</v>
      </c>
    </row>
    <row r="160" spans="2:8" s="1" customFormat="1" x14ac:dyDescent="0.15">
      <c r="B160" s="32">
        <v>300030</v>
      </c>
      <c r="C160" s="2" t="s">
        <v>2</v>
      </c>
      <c r="D160" s="9">
        <f>ROUND(C12*680,0)</f>
        <v>7140</v>
      </c>
      <c r="E160" s="3" t="s">
        <v>3</v>
      </c>
      <c r="F160" s="11">
        <f>ROUND(C12*1936,0)</f>
        <v>20328</v>
      </c>
      <c r="G160" s="4" t="s">
        <v>8</v>
      </c>
      <c r="H160" s="17" t="s">
        <v>81</v>
      </c>
    </row>
    <row r="161" spans="2:8" s="1" customFormat="1" ht="13.5" customHeight="1" x14ac:dyDescent="0.15">
      <c r="B161" s="33"/>
      <c r="C161" s="5" t="s">
        <v>4</v>
      </c>
      <c r="D161" s="9">
        <f>ROUND(C12*880,0)</f>
        <v>9240</v>
      </c>
      <c r="E161" s="6" t="s">
        <v>5</v>
      </c>
      <c r="F161" s="11">
        <f>ROUND(C12*980,0)</f>
        <v>10290</v>
      </c>
      <c r="G161" s="35">
        <v>100</v>
      </c>
      <c r="H161" s="17"/>
    </row>
    <row r="162" spans="2:8" s="1" customFormat="1" ht="13.5" customHeight="1" x14ac:dyDescent="0.15">
      <c r="B162" s="33"/>
      <c r="C162" s="7" t="s">
        <v>6</v>
      </c>
      <c r="D162" s="10">
        <v>4</v>
      </c>
      <c r="E162" s="8" t="s">
        <v>7</v>
      </c>
      <c r="F162" s="12">
        <f>ROUND(C12*530,0)</f>
        <v>5565</v>
      </c>
      <c r="G162" s="36"/>
      <c r="H162" s="17"/>
    </row>
    <row r="163" spans="2:8" s="1" customFormat="1" ht="14.25" thickBot="1" x14ac:dyDescent="0.2">
      <c r="B163" s="34"/>
      <c r="C163" s="18" t="s">
        <v>16</v>
      </c>
      <c r="D163" s="19" t="s">
        <v>371</v>
      </c>
      <c r="E163" s="20" t="s">
        <v>17</v>
      </c>
      <c r="F163" s="21" t="s">
        <v>82</v>
      </c>
      <c r="G163" s="22" t="s">
        <v>20</v>
      </c>
      <c r="H163" s="23" t="s">
        <v>37</v>
      </c>
    </row>
    <row r="164" spans="2:8" s="1" customFormat="1" x14ac:dyDescent="0.15">
      <c r="B164" s="13" t="s">
        <v>1</v>
      </c>
      <c r="C164" s="14" t="s">
        <v>0</v>
      </c>
      <c r="D164" s="29" t="s">
        <v>127</v>
      </c>
      <c r="E164" s="30"/>
      <c r="F164" s="31"/>
      <c r="G164" s="15" t="s">
        <v>57</v>
      </c>
      <c r="H164" s="16" t="s">
        <v>128</v>
      </c>
    </row>
    <row r="165" spans="2:8" s="1" customFormat="1" x14ac:dyDescent="0.15">
      <c r="B165" s="32">
        <v>300031</v>
      </c>
      <c r="C165" s="2" t="s">
        <v>2</v>
      </c>
      <c r="D165" s="9">
        <f>ROUND(C12*680,0)</f>
        <v>7140</v>
      </c>
      <c r="E165" s="3" t="s">
        <v>3</v>
      </c>
      <c r="F165" s="11">
        <f>ROUND(C12*880,0)</f>
        <v>9240</v>
      </c>
      <c r="G165" s="4" t="s">
        <v>8</v>
      </c>
      <c r="H165" s="17" t="s">
        <v>129</v>
      </c>
    </row>
    <row r="166" spans="2:8" s="1" customFormat="1" ht="13.5" customHeight="1" x14ac:dyDescent="0.15">
      <c r="B166" s="33"/>
      <c r="C166" s="5" t="s">
        <v>4</v>
      </c>
      <c r="D166" s="9">
        <f>ROUND(C12*880,0)</f>
        <v>9240</v>
      </c>
      <c r="E166" s="6" t="s">
        <v>5</v>
      </c>
      <c r="F166" s="11">
        <f>ROUND(C12*476,0)</f>
        <v>4998</v>
      </c>
      <c r="G166" s="35">
        <v>100</v>
      </c>
      <c r="H166" s="17"/>
    </row>
    <row r="167" spans="2:8" s="1" customFormat="1" ht="13.5" customHeight="1" x14ac:dyDescent="0.15">
      <c r="B167" s="33"/>
      <c r="C167" s="7" t="s">
        <v>6</v>
      </c>
      <c r="D167" s="10">
        <v>7</v>
      </c>
      <c r="E167" s="8" t="s">
        <v>7</v>
      </c>
      <c r="F167" s="12">
        <f>ROUND(C12*370,0)</f>
        <v>3885</v>
      </c>
      <c r="G167" s="36"/>
      <c r="H167" s="17"/>
    </row>
    <row r="168" spans="2:8" s="1" customFormat="1" ht="14.25" thickBot="1" x14ac:dyDescent="0.2">
      <c r="B168" s="34"/>
      <c r="C168" s="18" t="s">
        <v>16</v>
      </c>
      <c r="D168" s="19" t="s">
        <v>402</v>
      </c>
      <c r="E168" s="20" t="s">
        <v>17</v>
      </c>
      <c r="F168" s="21" t="s">
        <v>100</v>
      </c>
      <c r="G168" s="22" t="s">
        <v>20</v>
      </c>
      <c r="H168" s="23" t="s">
        <v>37</v>
      </c>
    </row>
    <row r="169" spans="2:8" s="1" customFormat="1" x14ac:dyDescent="0.15">
      <c r="B169" s="13" t="s">
        <v>1</v>
      </c>
      <c r="C169" s="14" t="s">
        <v>0</v>
      </c>
      <c r="D169" s="29" t="s">
        <v>130</v>
      </c>
      <c r="E169" s="30"/>
      <c r="F169" s="31"/>
      <c r="G169" s="15" t="s">
        <v>57</v>
      </c>
      <c r="H169" s="16" t="s">
        <v>131</v>
      </c>
    </row>
    <row r="170" spans="2:8" s="1" customFormat="1" x14ac:dyDescent="0.15">
      <c r="B170" s="32">
        <v>300032</v>
      </c>
      <c r="C170" s="2" t="s">
        <v>2</v>
      </c>
      <c r="D170" s="9">
        <f>ROUND(C12*680,0)</f>
        <v>7140</v>
      </c>
      <c r="E170" s="3" t="s">
        <v>3</v>
      </c>
      <c r="F170" s="11">
        <f>ROUND(C12*1936,0)</f>
        <v>20328</v>
      </c>
      <c r="G170" s="4" t="s">
        <v>8</v>
      </c>
      <c r="H170" s="17" t="s">
        <v>132</v>
      </c>
    </row>
    <row r="171" spans="2:8" s="1" customFormat="1" ht="13.5" customHeight="1" x14ac:dyDescent="0.15">
      <c r="B171" s="33"/>
      <c r="C171" s="5" t="s">
        <v>4</v>
      </c>
      <c r="D171" s="9">
        <f>ROUND(C12*880,0)</f>
        <v>9240</v>
      </c>
      <c r="E171" s="6" t="s">
        <v>5</v>
      </c>
      <c r="F171" s="11">
        <f>ROUND(C12*980,0)</f>
        <v>10290</v>
      </c>
      <c r="G171" s="35">
        <v>100</v>
      </c>
      <c r="H171" s="17"/>
    </row>
    <row r="172" spans="2:8" s="1" customFormat="1" ht="13.5" customHeight="1" x14ac:dyDescent="0.15">
      <c r="B172" s="33"/>
      <c r="C172" s="7" t="s">
        <v>6</v>
      </c>
      <c r="D172" s="10">
        <v>4</v>
      </c>
      <c r="E172" s="8" t="s">
        <v>7</v>
      </c>
      <c r="F172" s="12">
        <f>ROUND(C12*530,0)</f>
        <v>5565</v>
      </c>
      <c r="G172" s="36"/>
      <c r="H172" s="17"/>
    </row>
    <row r="173" spans="2:8" s="1" customFormat="1" ht="14.25" thickBot="1" x14ac:dyDescent="0.2">
      <c r="B173" s="34"/>
      <c r="C173" s="18" t="s">
        <v>16</v>
      </c>
      <c r="D173" s="19" t="s">
        <v>395</v>
      </c>
      <c r="E173" s="20" t="s">
        <v>17</v>
      </c>
      <c r="F173" s="21" t="s">
        <v>48</v>
      </c>
      <c r="G173" s="22" t="s">
        <v>20</v>
      </c>
      <c r="H173" s="23" t="s">
        <v>37</v>
      </c>
    </row>
    <row r="174" spans="2:8" s="1" customFormat="1" x14ac:dyDescent="0.15">
      <c r="B174" s="13" t="s">
        <v>1</v>
      </c>
      <c r="C174" s="14" t="s">
        <v>0</v>
      </c>
      <c r="D174" s="29" t="s">
        <v>133</v>
      </c>
      <c r="E174" s="30"/>
      <c r="F174" s="31"/>
      <c r="G174" s="15" t="s">
        <v>57</v>
      </c>
      <c r="H174" s="16" t="s">
        <v>134</v>
      </c>
    </row>
    <row r="175" spans="2:8" s="1" customFormat="1" x14ac:dyDescent="0.15">
      <c r="B175" s="32">
        <v>300033</v>
      </c>
      <c r="C175" s="2" t="s">
        <v>2</v>
      </c>
      <c r="D175" s="9">
        <f>ROUND(C12*680,0)</f>
        <v>7140</v>
      </c>
      <c r="E175" s="3" t="s">
        <v>3</v>
      </c>
      <c r="F175" s="11">
        <f>ROUND(C12*880,0)</f>
        <v>9240</v>
      </c>
      <c r="G175" s="4" t="s">
        <v>8</v>
      </c>
      <c r="H175" s="17" t="s">
        <v>135</v>
      </c>
    </row>
    <row r="176" spans="2:8" s="1" customFormat="1" ht="13.5" customHeight="1" x14ac:dyDescent="0.15">
      <c r="B176" s="33"/>
      <c r="C176" s="5" t="s">
        <v>4</v>
      </c>
      <c r="D176" s="9">
        <f>ROUND(C12*880,0)</f>
        <v>9240</v>
      </c>
      <c r="E176" s="6" t="s">
        <v>5</v>
      </c>
      <c r="F176" s="11">
        <f>ROUND(C12*476,0)</f>
        <v>4998</v>
      </c>
      <c r="G176" s="35">
        <v>50</v>
      </c>
      <c r="H176" s="17"/>
    </row>
    <row r="177" spans="2:8" s="1" customFormat="1" ht="13.5" customHeight="1" x14ac:dyDescent="0.15">
      <c r="B177" s="33"/>
      <c r="C177" s="7" t="s">
        <v>6</v>
      </c>
      <c r="D177" s="10">
        <v>7</v>
      </c>
      <c r="E177" s="8" t="s">
        <v>7</v>
      </c>
      <c r="F177" s="12">
        <f>ROUND(C12*480,0)</f>
        <v>5040</v>
      </c>
      <c r="G177" s="36"/>
      <c r="H177" s="17"/>
    </row>
    <row r="178" spans="2:8" s="1" customFormat="1" ht="14.25" thickBot="1" x14ac:dyDescent="0.2">
      <c r="B178" s="34"/>
      <c r="C178" s="18" t="s">
        <v>16</v>
      </c>
      <c r="D178" s="19" t="s">
        <v>376</v>
      </c>
      <c r="E178" s="20" t="s">
        <v>17</v>
      </c>
      <c r="F178" s="21" t="s">
        <v>49</v>
      </c>
      <c r="G178" s="22" t="s">
        <v>20</v>
      </c>
      <c r="H178" s="23" t="s">
        <v>136</v>
      </c>
    </row>
    <row r="179" spans="2:8" s="1" customFormat="1" x14ac:dyDescent="0.15">
      <c r="B179" s="13" t="s">
        <v>1</v>
      </c>
      <c r="C179" s="14" t="s">
        <v>0</v>
      </c>
      <c r="D179" s="29" t="s">
        <v>137</v>
      </c>
      <c r="E179" s="30"/>
      <c r="F179" s="31"/>
      <c r="G179" s="15" t="s">
        <v>57</v>
      </c>
      <c r="H179" s="16" t="s">
        <v>35</v>
      </c>
    </row>
    <row r="180" spans="2:8" s="1" customFormat="1" x14ac:dyDescent="0.15">
      <c r="B180" s="32">
        <v>300034</v>
      </c>
      <c r="C180" s="2" t="s">
        <v>2</v>
      </c>
      <c r="D180" s="9">
        <f>ROUND(C12*680,0)</f>
        <v>7140</v>
      </c>
      <c r="E180" s="3" t="s">
        <v>3</v>
      </c>
      <c r="F180" s="11">
        <f>ROUND(C12*880,0)</f>
        <v>9240</v>
      </c>
      <c r="G180" s="4" t="s">
        <v>8</v>
      </c>
      <c r="H180" s="17" t="s">
        <v>23</v>
      </c>
    </row>
    <row r="181" spans="2:8" s="1" customFormat="1" ht="13.5" customHeight="1" x14ac:dyDescent="0.15">
      <c r="B181" s="33"/>
      <c r="C181" s="5" t="s">
        <v>4</v>
      </c>
      <c r="D181" s="9">
        <f>ROUND(C12*880,0)</f>
        <v>9240</v>
      </c>
      <c r="E181" s="6" t="s">
        <v>5</v>
      </c>
      <c r="F181" s="11">
        <f>ROUND(C12*476,0)</f>
        <v>4998</v>
      </c>
      <c r="G181" s="35">
        <v>100</v>
      </c>
      <c r="H181" s="17"/>
    </row>
    <row r="182" spans="2:8" s="1" customFormat="1" ht="13.5" customHeight="1" x14ac:dyDescent="0.15">
      <c r="B182" s="33"/>
      <c r="C182" s="7" t="s">
        <v>6</v>
      </c>
      <c r="D182" s="10">
        <v>7</v>
      </c>
      <c r="E182" s="8" t="s">
        <v>7</v>
      </c>
      <c r="F182" s="12">
        <f>ROUND(C12*530,0)</f>
        <v>5565</v>
      </c>
      <c r="G182" s="36"/>
      <c r="H182" s="17"/>
    </row>
    <row r="183" spans="2:8" s="1" customFormat="1" ht="14.25" thickBot="1" x14ac:dyDescent="0.2">
      <c r="B183" s="34"/>
      <c r="C183" s="18" t="s">
        <v>16</v>
      </c>
      <c r="D183" s="19" t="s">
        <v>404</v>
      </c>
      <c r="E183" s="20" t="s">
        <v>17</v>
      </c>
      <c r="F183" s="21" t="s">
        <v>100</v>
      </c>
      <c r="G183" s="22" t="s">
        <v>20</v>
      </c>
      <c r="H183" s="23" t="s">
        <v>37</v>
      </c>
    </row>
    <row r="184" spans="2:8" s="1" customFormat="1" x14ac:dyDescent="0.15">
      <c r="B184" s="13" t="s">
        <v>1</v>
      </c>
      <c r="C184" s="14" t="s">
        <v>0</v>
      </c>
      <c r="D184" s="29" t="s">
        <v>138</v>
      </c>
      <c r="E184" s="30"/>
      <c r="F184" s="31"/>
      <c r="G184" s="15" t="s">
        <v>57</v>
      </c>
      <c r="H184" s="16" t="s">
        <v>139</v>
      </c>
    </row>
    <row r="185" spans="2:8" s="1" customFormat="1" x14ac:dyDescent="0.15">
      <c r="B185" s="32">
        <v>300035</v>
      </c>
      <c r="C185" s="2" t="s">
        <v>2</v>
      </c>
      <c r="D185" s="9">
        <f>ROUND(C12*680,0)</f>
        <v>7140</v>
      </c>
      <c r="E185" s="3" t="s">
        <v>3</v>
      </c>
      <c r="F185" s="11">
        <f>ROUND(C12*880,0)</f>
        <v>9240</v>
      </c>
      <c r="G185" s="4" t="s">
        <v>8</v>
      </c>
      <c r="H185" s="17" t="s">
        <v>140</v>
      </c>
    </row>
    <row r="186" spans="2:8" s="1" customFormat="1" ht="13.5" customHeight="1" x14ac:dyDescent="0.15">
      <c r="B186" s="33"/>
      <c r="C186" s="5" t="s">
        <v>4</v>
      </c>
      <c r="D186" s="9">
        <f>ROUND(C12*880,0)</f>
        <v>9240</v>
      </c>
      <c r="E186" s="6" t="s">
        <v>5</v>
      </c>
      <c r="F186" s="11">
        <f>ROUND(C12*476,0)</f>
        <v>4998</v>
      </c>
      <c r="G186" s="35">
        <v>50</v>
      </c>
      <c r="H186" s="17"/>
    </row>
    <row r="187" spans="2:8" s="1" customFormat="1" ht="13.5" customHeight="1" x14ac:dyDescent="0.15">
      <c r="B187" s="33"/>
      <c r="C187" s="7" t="s">
        <v>6</v>
      </c>
      <c r="D187" s="10">
        <v>7</v>
      </c>
      <c r="E187" s="8" t="s">
        <v>7</v>
      </c>
      <c r="F187" s="12">
        <f>ROUND(C12*480,0)</f>
        <v>5040</v>
      </c>
      <c r="G187" s="36"/>
      <c r="H187" s="17"/>
    </row>
    <row r="188" spans="2:8" s="1" customFormat="1" ht="14.25" thickBot="1" x14ac:dyDescent="0.2">
      <c r="B188" s="34"/>
      <c r="C188" s="18" t="s">
        <v>16</v>
      </c>
      <c r="D188" s="19" t="s">
        <v>39</v>
      </c>
      <c r="E188" s="20" t="s">
        <v>17</v>
      </c>
      <c r="F188" s="21" t="s">
        <v>405</v>
      </c>
      <c r="G188" s="22" t="s">
        <v>20</v>
      </c>
      <c r="H188" s="23" t="s">
        <v>37</v>
      </c>
    </row>
    <row r="189" spans="2:8" s="1" customFormat="1" x14ac:dyDescent="0.15">
      <c r="B189" s="13" t="s">
        <v>1</v>
      </c>
      <c r="C189" s="14" t="s">
        <v>0</v>
      </c>
      <c r="D189" s="29" t="s">
        <v>141</v>
      </c>
      <c r="E189" s="30"/>
      <c r="F189" s="31"/>
      <c r="G189" s="15" t="s">
        <v>57</v>
      </c>
      <c r="H189" s="16" t="s">
        <v>41</v>
      </c>
    </row>
    <row r="190" spans="2:8" s="1" customFormat="1" x14ac:dyDescent="0.15">
      <c r="B190" s="32">
        <v>300036</v>
      </c>
      <c r="C190" s="2" t="s">
        <v>2</v>
      </c>
      <c r="D190" s="9">
        <f>ROUND(C12*680,0)</f>
        <v>7140</v>
      </c>
      <c r="E190" s="3" t="s">
        <v>3</v>
      </c>
      <c r="F190" s="11">
        <f>ROUND(C12*1936,0)</f>
        <v>20328</v>
      </c>
      <c r="G190" s="4" t="s">
        <v>8</v>
      </c>
      <c r="H190" s="17" t="s">
        <v>25</v>
      </c>
    </row>
    <row r="191" spans="2:8" s="1" customFormat="1" ht="13.5" customHeight="1" x14ac:dyDescent="0.15">
      <c r="B191" s="33"/>
      <c r="C191" s="5" t="s">
        <v>4</v>
      </c>
      <c r="D191" s="9">
        <f>ROUND(C12*880,0)</f>
        <v>9240</v>
      </c>
      <c r="E191" s="6" t="s">
        <v>5</v>
      </c>
      <c r="F191" s="11">
        <f>ROUND(C12*980,0)</f>
        <v>10290</v>
      </c>
      <c r="G191" s="35">
        <v>100</v>
      </c>
      <c r="H191" s="17"/>
    </row>
    <row r="192" spans="2:8" s="1" customFormat="1" ht="13.5" customHeight="1" x14ac:dyDescent="0.15">
      <c r="B192" s="33"/>
      <c r="C192" s="7" t="s">
        <v>6</v>
      </c>
      <c r="D192" s="10">
        <v>4</v>
      </c>
      <c r="E192" s="8" t="s">
        <v>7</v>
      </c>
      <c r="F192" s="12">
        <f>ROUND(C12*370,0)</f>
        <v>3885</v>
      </c>
      <c r="G192" s="36"/>
      <c r="H192" s="17"/>
    </row>
    <row r="193" spans="2:8" s="1" customFormat="1" ht="14.25" thickBot="1" x14ac:dyDescent="0.2">
      <c r="B193" s="34"/>
      <c r="C193" s="18" t="s">
        <v>16</v>
      </c>
      <c r="D193" s="19" t="s">
        <v>377</v>
      </c>
      <c r="E193" s="20" t="s">
        <v>17</v>
      </c>
      <c r="F193" s="21" t="s">
        <v>56</v>
      </c>
      <c r="G193" s="22" t="s">
        <v>20</v>
      </c>
      <c r="H193" s="23" t="s">
        <v>37</v>
      </c>
    </row>
    <row r="194" spans="2:8" s="1" customFormat="1" x14ac:dyDescent="0.15">
      <c r="B194" s="13" t="s">
        <v>1</v>
      </c>
      <c r="C194" s="14" t="s">
        <v>0</v>
      </c>
      <c r="D194" s="29" t="s">
        <v>142</v>
      </c>
      <c r="E194" s="30"/>
      <c r="F194" s="31"/>
      <c r="G194" s="15" t="s">
        <v>57</v>
      </c>
      <c r="H194" s="16" t="s">
        <v>143</v>
      </c>
    </row>
    <row r="195" spans="2:8" s="1" customFormat="1" x14ac:dyDescent="0.15">
      <c r="B195" s="32">
        <v>300037</v>
      </c>
      <c r="C195" s="2" t="s">
        <v>2</v>
      </c>
      <c r="D195" s="9">
        <f>ROUND(C12*680,0)</f>
        <v>7140</v>
      </c>
      <c r="E195" s="3" t="s">
        <v>3</v>
      </c>
      <c r="F195" s="11">
        <f>ROUND(C12*880,0)</f>
        <v>9240</v>
      </c>
      <c r="G195" s="4" t="s">
        <v>8</v>
      </c>
      <c r="H195" s="17" t="s">
        <v>144</v>
      </c>
    </row>
    <row r="196" spans="2:8" s="1" customFormat="1" ht="13.5" customHeight="1" x14ac:dyDescent="0.15">
      <c r="B196" s="33"/>
      <c r="C196" s="5" t="s">
        <v>4</v>
      </c>
      <c r="D196" s="9">
        <f>ROUND(C12*880,0)</f>
        <v>9240</v>
      </c>
      <c r="E196" s="6" t="s">
        <v>5</v>
      </c>
      <c r="F196" s="11">
        <f>ROUND(C12*476,0)</f>
        <v>4998</v>
      </c>
      <c r="G196" s="35">
        <v>50</v>
      </c>
      <c r="H196" s="17"/>
    </row>
    <row r="197" spans="2:8" s="1" customFormat="1" ht="13.5" customHeight="1" x14ac:dyDescent="0.15">
      <c r="B197" s="33"/>
      <c r="C197" s="7" t="s">
        <v>6</v>
      </c>
      <c r="D197" s="10">
        <v>7</v>
      </c>
      <c r="E197" s="8" t="s">
        <v>7</v>
      </c>
      <c r="F197" s="12">
        <f>ROUND(C12*530,0)</f>
        <v>5565</v>
      </c>
      <c r="G197" s="36"/>
      <c r="H197" s="17"/>
    </row>
    <row r="198" spans="2:8" s="1" customFormat="1" ht="14.25" thickBot="1" x14ac:dyDescent="0.2">
      <c r="B198" s="34"/>
      <c r="C198" s="18" t="s">
        <v>16</v>
      </c>
      <c r="D198" s="19" t="s">
        <v>406</v>
      </c>
      <c r="E198" s="20" t="s">
        <v>17</v>
      </c>
      <c r="F198" s="21" t="s">
        <v>396</v>
      </c>
      <c r="G198" s="22" t="s">
        <v>20</v>
      </c>
      <c r="H198" s="23" t="s">
        <v>72</v>
      </c>
    </row>
    <row r="199" spans="2:8" s="1" customFormat="1" x14ac:dyDescent="0.15">
      <c r="B199" s="13" t="s">
        <v>1</v>
      </c>
      <c r="C199" s="14" t="s">
        <v>0</v>
      </c>
      <c r="D199" s="29" t="s">
        <v>145</v>
      </c>
      <c r="E199" s="30"/>
      <c r="F199" s="31"/>
      <c r="G199" s="15" t="s">
        <v>57</v>
      </c>
      <c r="H199" s="16" t="s">
        <v>146</v>
      </c>
    </row>
    <row r="200" spans="2:8" s="1" customFormat="1" x14ac:dyDescent="0.15">
      <c r="B200" s="32">
        <v>300038</v>
      </c>
      <c r="C200" s="2" t="s">
        <v>2</v>
      </c>
      <c r="D200" s="9">
        <f>ROUND(C12*680,0)</f>
        <v>7140</v>
      </c>
      <c r="E200" s="3" t="s">
        <v>3</v>
      </c>
      <c r="F200" s="11">
        <f>ROUND(C12*880,0)</f>
        <v>9240</v>
      </c>
      <c r="G200" s="4" t="s">
        <v>8</v>
      </c>
      <c r="H200" s="17" t="s">
        <v>147</v>
      </c>
    </row>
    <row r="201" spans="2:8" s="1" customFormat="1" ht="13.5" customHeight="1" x14ac:dyDescent="0.15">
      <c r="B201" s="33"/>
      <c r="C201" s="5" t="s">
        <v>4</v>
      </c>
      <c r="D201" s="9">
        <f>ROUND(C12*880,0)</f>
        <v>9240</v>
      </c>
      <c r="E201" s="6" t="s">
        <v>5</v>
      </c>
      <c r="F201" s="11">
        <f>ROUND(C12*476,0)</f>
        <v>4998</v>
      </c>
      <c r="G201" s="35">
        <v>100</v>
      </c>
      <c r="H201" s="17"/>
    </row>
    <row r="202" spans="2:8" s="1" customFormat="1" ht="13.5" customHeight="1" x14ac:dyDescent="0.15">
      <c r="B202" s="33"/>
      <c r="C202" s="7" t="s">
        <v>6</v>
      </c>
      <c r="D202" s="10">
        <v>7</v>
      </c>
      <c r="E202" s="8" t="s">
        <v>7</v>
      </c>
      <c r="F202" s="12">
        <f>ROUND(C12*480,0)</f>
        <v>5040</v>
      </c>
      <c r="G202" s="36"/>
      <c r="H202" s="17"/>
    </row>
    <row r="203" spans="2:8" s="1" customFormat="1" ht="14.25" thickBot="1" x14ac:dyDescent="0.2">
      <c r="B203" s="34"/>
      <c r="C203" s="18" t="s">
        <v>16</v>
      </c>
      <c r="D203" s="19" t="s">
        <v>407</v>
      </c>
      <c r="E203" s="20" t="s">
        <v>17</v>
      </c>
      <c r="F203" s="21" t="s">
        <v>48</v>
      </c>
      <c r="G203" s="22" t="s">
        <v>20</v>
      </c>
      <c r="H203" s="23" t="s">
        <v>37</v>
      </c>
    </row>
    <row r="204" spans="2:8" s="1" customFormat="1" x14ac:dyDescent="0.15">
      <c r="B204" s="13" t="s">
        <v>1</v>
      </c>
      <c r="C204" s="14" t="s">
        <v>0</v>
      </c>
      <c r="D204" s="29" t="s">
        <v>148</v>
      </c>
      <c r="E204" s="30"/>
      <c r="F204" s="31"/>
      <c r="G204" s="15" t="s">
        <v>57</v>
      </c>
      <c r="H204" s="16" t="s">
        <v>53</v>
      </c>
    </row>
    <row r="205" spans="2:8" s="1" customFormat="1" x14ac:dyDescent="0.15">
      <c r="B205" s="32">
        <v>300039</v>
      </c>
      <c r="C205" s="2" t="s">
        <v>2</v>
      </c>
      <c r="D205" s="9">
        <f>ROUND(C12*680,0)</f>
        <v>7140</v>
      </c>
      <c r="E205" s="3" t="s">
        <v>3</v>
      </c>
      <c r="F205" s="11">
        <f>ROUND(C12*880,0)</f>
        <v>9240</v>
      </c>
      <c r="G205" s="4" t="s">
        <v>8</v>
      </c>
      <c r="H205" s="17" t="s">
        <v>394</v>
      </c>
    </row>
    <row r="206" spans="2:8" s="1" customFormat="1" ht="13.5" customHeight="1" x14ac:dyDescent="0.15">
      <c r="B206" s="33"/>
      <c r="C206" s="5" t="s">
        <v>4</v>
      </c>
      <c r="D206" s="9">
        <f>ROUND(C12*880,0)</f>
        <v>9240</v>
      </c>
      <c r="E206" s="6" t="s">
        <v>5</v>
      </c>
      <c r="F206" s="11">
        <f>ROUND(C12*476,0)</f>
        <v>4998</v>
      </c>
      <c r="G206" s="35">
        <v>30</v>
      </c>
      <c r="H206" s="17"/>
    </row>
    <row r="207" spans="2:8" s="1" customFormat="1" ht="13.5" customHeight="1" x14ac:dyDescent="0.15">
      <c r="B207" s="33"/>
      <c r="C207" s="7" t="s">
        <v>6</v>
      </c>
      <c r="D207" s="10">
        <v>7</v>
      </c>
      <c r="E207" s="8" t="s">
        <v>7</v>
      </c>
      <c r="F207" s="12">
        <f>ROUND(C12*370,0)</f>
        <v>3885</v>
      </c>
      <c r="G207" s="36"/>
      <c r="H207" s="17"/>
    </row>
    <row r="208" spans="2:8" s="1" customFormat="1" ht="14.25" thickBot="1" x14ac:dyDescent="0.2">
      <c r="B208" s="34"/>
      <c r="C208" s="18" t="s">
        <v>16</v>
      </c>
      <c r="D208" s="19" t="s">
        <v>243</v>
      </c>
      <c r="E208" s="20" t="s">
        <v>17</v>
      </c>
      <c r="F208" s="21" t="s">
        <v>113</v>
      </c>
      <c r="G208" s="22" t="s">
        <v>20</v>
      </c>
      <c r="H208" s="23" t="s">
        <v>37</v>
      </c>
    </row>
    <row r="209" spans="2:8" s="1" customFormat="1" x14ac:dyDescent="0.15">
      <c r="B209" s="13" t="s">
        <v>1</v>
      </c>
      <c r="C209" s="14" t="s">
        <v>0</v>
      </c>
      <c r="D209" s="29" t="s">
        <v>149</v>
      </c>
      <c r="E209" s="30"/>
      <c r="F209" s="31"/>
      <c r="G209" s="15" t="s">
        <v>57</v>
      </c>
      <c r="H209" s="16" t="s">
        <v>44</v>
      </c>
    </row>
    <row r="210" spans="2:8" s="1" customFormat="1" x14ac:dyDescent="0.15">
      <c r="B210" s="32">
        <v>300040</v>
      </c>
      <c r="C210" s="2" t="s">
        <v>2</v>
      </c>
      <c r="D210" s="9">
        <f>ROUND(C12*680,0)</f>
        <v>7140</v>
      </c>
      <c r="E210" s="3" t="s">
        <v>3</v>
      </c>
      <c r="F210" s="11">
        <f>ROUND(C12*1936,0)</f>
        <v>20328</v>
      </c>
      <c r="G210" s="4" t="s">
        <v>8</v>
      </c>
      <c r="H210" s="17" t="s">
        <v>26</v>
      </c>
    </row>
    <row r="211" spans="2:8" s="1" customFormat="1" ht="13.5" customHeight="1" x14ac:dyDescent="0.15">
      <c r="B211" s="33"/>
      <c r="C211" s="5" t="s">
        <v>4</v>
      </c>
      <c r="D211" s="9">
        <f>ROUND(C12*880,0)</f>
        <v>9240</v>
      </c>
      <c r="E211" s="6" t="s">
        <v>5</v>
      </c>
      <c r="F211" s="11">
        <f>ROUND(C12*980,0)</f>
        <v>10290</v>
      </c>
      <c r="G211" s="35">
        <v>100</v>
      </c>
      <c r="H211" s="17"/>
    </row>
    <row r="212" spans="2:8" s="1" customFormat="1" ht="13.5" customHeight="1" x14ac:dyDescent="0.15">
      <c r="B212" s="33"/>
      <c r="C212" s="7" t="s">
        <v>6</v>
      </c>
      <c r="D212" s="10">
        <v>4</v>
      </c>
      <c r="E212" s="8" t="s">
        <v>7</v>
      </c>
      <c r="F212" s="12">
        <f>ROUND(C12*370,0)</f>
        <v>3885</v>
      </c>
      <c r="G212" s="36"/>
      <c r="H212" s="17"/>
    </row>
    <row r="213" spans="2:8" s="1" customFormat="1" ht="14.25" thickBot="1" x14ac:dyDescent="0.2">
      <c r="B213" s="34"/>
      <c r="C213" s="18" t="s">
        <v>16</v>
      </c>
      <c r="D213" s="19" t="s">
        <v>393</v>
      </c>
      <c r="E213" s="20" t="s">
        <v>17</v>
      </c>
      <c r="F213" s="21" t="s">
        <v>54</v>
      </c>
      <c r="G213" s="22" t="s">
        <v>20</v>
      </c>
      <c r="H213" s="23" t="s">
        <v>37</v>
      </c>
    </row>
    <row r="214" spans="2:8" s="1" customFormat="1" x14ac:dyDescent="0.15">
      <c r="B214" s="13" t="s">
        <v>1</v>
      </c>
      <c r="C214" s="14" t="s">
        <v>0</v>
      </c>
      <c r="D214" s="29" t="s">
        <v>150</v>
      </c>
      <c r="E214" s="30"/>
      <c r="F214" s="31"/>
      <c r="G214" s="15" t="s">
        <v>57</v>
      </c>
      <c r="H214" s="16" t="s">
        <v>151</v>
      </c>
    </row>
    <row r="215" spans="2:8" s="1" customFormat="1" x14ac:dyDescent="0.15">
      <c r="B215" s="32">
        <v>300041</v>
      </c>
      <c r="C215" s="2" t="s">
        <v>2</v>
      </c>
      <c r="D215" s="9">
        <f>ROUND(C12*680,0)</f>
        <v>7140</v>
      </c>
      <c r="E215" s="3" t="s">
        <v>3</v>
      </c>
      <c r="F215" s="11">
        <f>ROUND(C12*880,0)</f>
        <v>9240</v>
      </c>
      <c r="G215" s="4" t="s">
        <v>8</v>
      </c>
      <c r="H215" s="17" t="s">
        <v>152</v>
      </c>
    </row>
    <row r="216" spans="2:8" s="1" customFormat="1" ht="13.5" customHeight="1" x14ac:dyDescent="0.15">
      <c r="B216" s="33"/>
      <c r="C216" s="5" t="s">
        <v>4</v>
      </c>
      <c r="D216" s="9">
        <f>ROUND(C12*880,0)</f>
        <v>9240</v>
      </c>
      <c r="E216" s="6" t="s">
        <v>5</v>
      </c>
      <c r="F216" s="11">
        <f>ROUND(C12*476,0)</f>
        <v>4998</v>
      </c>
      <c r="G216" s="35">
        <v>50</v>
      </c>
      <c r="H216" s="17"/>
    </row>
    <row r="217" spans="2:8" s="1" customFormat="1" ht="13.5" customHeight="1" x14ac:dyDescent="0.15">
      <c r="B217" s="33"/>
      <c r="C217" s="7" t="s">
        <v>6</v>
      </c>
      <c r="D217" s="10">
        <v>7</v>
      </c>
      <c r="E217" s="8" t="s">
        <v>7</v>
      </c>
      <c r="F217" s="12">
        <f>ROUND(C12*370,0)</f>
        <v>3885</v>
      </c>
      <c r="G217" s="36"/>
      <c r="H217" s="17"/>
    </row>
    <row r="218" spans="2:8" s="1" customFormat="1" ht="14.25" thickBot="1" x14ac:dyDescent="0.2">
      <c r="B218" s="34"/>
      <c r="C218" s="18" t="s">
        <v>16</v>
      </c>
      <c r="D218" s="19" t="s">
        <v>380</v>
      </c>
      <c r="E218" s="20" t="s">
        <v>17</v>
      </c>
      <c r="F218" s="21" t="s">
        <v>93</v>
      </c>
      <c r="G218" s="22" t="s">
        <v>20</v>
      </c>
      <c r="H218" s="23" t="s">
        <v>153</v>
      </c>
    </row>
    <row r="219" spans="2:8" s="1" customFormat="1" x14ac:dyDescent="0.15">
      <c r="B219" s="13" t="s">
        <v>1</v>
      </c>
      <c r="C219" s="14" t="s">
        <v>0</v>
      </c>
      <c r="D219" s="29" t="s">
        <v>154</v>
      </c>
      <c r="E219" s="30"/>
      <c r="F219" s="31"/>
      <c r="G219" s="15" t="s">
        <v>57</v>
      </c>
      <c r="H219" s="16" t="s">
        <v>50</v>
      </c>
    </row>
    <row r="220" spans="2:8" s="1" customFormat="1" x14ac:dyDescent="0.15">
      <c r="B220" s="32">
        <v>300042</v>
      </c>
      <c r="C220" s="2" t="s">
        <v>2</v>
      </c>
      <c r="D220" s="9">
        <f>ROUND(C12*680,0)</f>
        <v>7140</v>
      </c>
      <c r="E220" s="3" t="s">
        <v>3</v>
      </c>
      <c r="F220" s="11">
        <f>ROUND(C12*880,0)</f>
        <v>9240</v>
      </c>
      <c r="G220" s="4" t="s">
        <v>8</v>
      </c>
      <c r="H220" s="17" t="s">
        <v>29</v>
      </c>
    </row>
    <row r="221" spans="2:8" s="1" customFormat="1" ht="13.5" customHeight="1" x14ac:dyDescent="0.15">
      <c r="B221" s="33"/>
      <c r="C221" s="5" t="s">
        <v>4</v>
      </c>
      <c r="D221" s="9">
        <f>ROUND(C12*880,0)</f>
        <v>9240</v>
      </c>
      <c r="E221" s="6" t="s">
        <v>5</v>
      </c>
      <c r="F221" s="11">
        <f>ROUND(C12*476,0)</f>
        <v>4998</v>
      </c>
      <c r="G221" s="35">
        <v>100</v>
      </c>
      <c r="H221" s="17"/>
    </row>
    <row r="222" spans="2:8" s="1" customFormat="1" ht="13.5" customHeight="1" x14ac:dyDescent="0.15">
      <c r="B222" s="33"/>
      <c r="C222" s="7" t="s">
        <v>6</v>
      </c>
      <c r="D222" s="10">
        <v>7</v>
      </c>
      <c r="E222" s="8" t="s">
        <v>7</v>
      </c>
      <c r="F222" s="12">
        <f>ROUND(C12*530,0)</f>
        <v>5565</v>
      </c>
      <c r="G222" s="36"/>
      <c r="H222" s="17"/>
    </row>
    <row r="223" spans="2:8" s="1" customFormat="1" ht="14.25" thickBot="1" x14ac:dyDescent="0.2">
      <c r="B223" s="34"/>
      <c r="C223" s="18" t="s">
        <v>16</v>
      </c>
      <c r="D223" s="19" t="s">
        <v>39</v>
      </c>
      <c r="E223" s="20" t="s">
        <v>17</v>
      </c>
      <c r="F223" s="21" t="s">
        <v>405</v>
      </c>
      <c r="G223" s="22" t="s">
        <v>20</v>
      </c>
      <c r="H223" s="23" t="s">
        <v>37</v>
      </c>
    </row>
    <row r="224" spans="2:8" s="1" customFormat="1" x14ac:dyDescent="0.15">
      <c r="B224" s="13" t="s">
        <v>1</v>
      </c>
      <c r="C224" s="14" t="s">
        <v>0</v>
      </c>
      <c r="D224" s="29" t="s">
        <v>155</v>
      </c>
      <c r="E224" s="30"/>
      <c r="F224" s="31"/>
      <c r="G224" s="15" t="s">
        <v>57</v>
      </c>
      <c r="H224" s="16" t="s">
        <v>84</v>
      </c>
    </row>
    <row r="225" spans="2:8" s="1" customFormat="1" x14ac:dyDescent="0.15">
      <c r="B225" s="32">
        <v>300043</v>
      </c>
      <c r="C225" s="2" t="s">
        <v>2</v>
      </c>
      <c r="D225" s="9">
        <f>ROUND(C12*680,0)</f>
        <v>7140</v>
      </c>
      <c r="E225" s="3" t="s">
        <v>3</v>
      </c>
      <c r="F225" s="11">
        <f>ROUND(C12*880,0)</f>
        <v>9240</v>
      </c>
      <c r="G225" s="4" t="s">
        <v>8</v>
      </c>
      <c r="H225" s="17" t="s">
        <v>398</v>
      </c>
    </row>
    <row r="226" spans="2:8" s="1" customFormat="1" ht="13.5" customHeight="1" x14ac:dyDescent="0.15">
      <c r="B226" s="33"/>
      <c r="C226" s="5" t="s">
        <v>4</v>
      </c>
      <c r="D226" s="9">
        <f>ROUND(C12*880,0)</f>
        <v>9240</v>
      </c>
      <c r="E226" s="6" t="s">
        <v>5</v>
      </c>
      <c r="F226" s="11">
        <f>ROUND(C12*476,0)</f>
        <v>4998</v>
      </c>
      <c r="G226" s="35">
        <v>50</v>
      </c>
      <c r="H226" s="17"/>
    </row>
    <row r="227" spans="2:8" s="1" customFormat="1" ht="13.5" customHeight="1" x14ac:dyDescent="0.15">
      <c r="B227" s="33"/>
      <c r="C227" s="7" t="s">
        <v>6</v>
      </c>
      <c r="D227" s="10">
        <v>7</v>
      </c>
      <c r="E227" s="8" t="s">
        <v>7</v>
      </c>
      <c r="F227" s="12">
        <f>ROUND(C12*480,0)</f>
        <v>5040</v>
      </c>
      <c r="G227" s="36"/>
      <c r="H227" s="17"/>
    </row>
    <row r="228" spans="2:8" s="1" customFormat="1" ht="14.25" thickBot="1" x14ac:dyDescent="0.2">
      <c r="B228" s="34"/>
      <c r="C228" s="18" t="s">
        <v>16</v>
      </c>
      <c r="D228" s="19" t="s">
        <v>389</v>
      </c>
      <c r="E228" s="20" t="s">
        <v>17</v>
      </c>
      <c r="F228" s="21" t="s">
        <v>33</v>
      </c>
      <c r="G228" s="22" t="s">
        <v>20</v>
      </c>
      <c r="H228" s="23" t="s">
        <v>156</v>
      </c>
    </row>
    <row r="229" spans="2:8" s="1" customFormat="1" x14ac:dyDescent="0.15">
      <c r="B229" s="13" t="s">
        <v>1</v>
      </c>
      <c r="C229" s="14" t="s">
        <v>0</v>
      </c>
      <c r="D229" s="29" t="s">
        <v>157</v>
      </c>
      <c r="E229" s="30"/>
      <c r="F229" s="31"/>
      <c r="G229" s="15" t="s">
        <v>57</v>
      </c>
      <c r="H229" s="16" t="s">
        <v>55</v>
      </c>
    </row>
    <row r="230" spans="2:8" s="1" customFormat="1" x14ac:dyDescent="0.15">
      <c r="B230" s="32">
        <v>300044</v>
      </c>
      <c r="C230" s="2" t="s">
        <v>2</v>
      </c>
      <c r="D230" s="9">
        <f>ROUND(C12*680,0)</f>
        <v>7140</v>
      </c>
      <c r="E230" s="3" t="s">
        <v>3</v>
      </c>
      <c r="F230" s="11">
        <f>ROUND(C12*1936,0)</f>
        <v>20328</v>
      </c>
      <c r="G230" s="4" t="s">
        <v>8</v>
      </c>
      <c r="H230" s="17" t="s">
        <v>30</v>
      </c>
    </row>
    <row r="231" spans="2:8" s="1" customFormat="1" ht="13.5" customHeight="1" x14ac:dyDescent="0.15">
      <c r="B231" s="33"/>
      <c r="C231" s="5" t="s">
        <v>4</v>
      </c>
      <c r="D231" s="9">
        <f>ROUND(C12*880,0)</f>
        <v>9240</v>
      </c>
      <c r="E231" s="6" t="s">
        <v>5</v>
      </c>
      <c r="F231" s="11">
        <f>ROUND(C12*980,0)</f>
        <v>10290</v>
      </c>
      <c r="G231" s="35">
        <v>100</v>
      </c>
      <c r="H231" s="17"/>
    </row>
    <row r="232" spans="2:8" s="1" customFormat="1" ht="13.5" customHeight="1" x14ac:dyDescent="0.15">
      <c r="B232" s="33"/>
      <c r="C232" s="7" t="s">
        <v>6</v>
      </c>
      <c r="D232" s="10">
        <v>4</v>
      </c>
      <c r="E232" s="8" t="s">
        <v>7</v>
      </c>
      <c r="F232" s="12">
        <f>ROUND(C12*530,0)</f>
        <v>5565</v>
      </c>
      <c r="G232" s="36"/>
      <c r="H232" s="17"/>
    </row>
    <row r="233" spans="2:8" s="1" customFormat="1" ht="14.25" thickBot="1" x14ac:dyDescent="0.2">
      <c r="B233" s="34"/>
      <c r="C233" s="18" t="s">
        <v>16</v>
      </c>
      <c r="D233" s="19" t="s">
        <v>390</v>
      </c>
      <c r="E233" s="20" t="s">
        <v>17</v>
      </c>
      <c r="F233" s="21" t="s">
        <v>54</v>
      </c>
      <c r="G233" s="22" t="s">
        <v>20</v>
      </c>
      <c r="H233" s="23" t="s">
        <v>37</v>
      </c>
    </row>
    <row r="234" spans="2:8" s="1" customFormat="1" x14ac:dyDescent="0.15">
      <c r="B234" s="13" t="s">
        <v>1</v>
      </c>
      <c r="C234" s="14" t="s">
        <v>0</v>
      </c>
      <c r="D234" s="29" t="s">
        <v>158</v>
      </c>
      <c r="E234" s="30"/>
      <c r="F234" s="31"/>
      <c r="G234" s="15" t="s">
        <v>57</v>
      </c>
      <c r="H234" s="16" t="s">
        <v>159</v>
      </c>
    </row>
    <row r="235" spans="2:8" s="1" customFormat="1" x14ac:dyDescent="0.15">
      <c r="B235" s="32">
        <v>300045</v>
      </c>
      <c r="C235" s="2" t="s">
        <v>2</v>
      </c>
      <c r="D235" s="9">
        <f>ROUND(C12*680,0)</f>
        <v>7140</v>
      </c>
      <c r="E235" s="3" t="s">
        <v>3</v>
      </c>
      <c r="F235" s="11">
        <f>ROUND(C12*880,0)</f>
        <v>9240</v>
      </c>
      <c r="G235" s="4" t="s">
        <v>8</v>
      </c>
      <c r="H235" s="17" t="s">
        <v>160</v>
      </c>
    </row>
    <row r="236" spans="2:8" s="1" customFormat="1" ht="13.5" customHeight="1" x14ac:dyDescent="0.15">
      <c r="B236" s="33"/>
      <c r="C236" s="5" t="s">
        <v>4</v>
      </c>
      <c r="D236" s="9">
        <f>ROUND(C12*880,0)</f>
        <v>9240</v>
      </c>
      <c r="E236" s="6" t="s">
        <v>5</v>
      </c>
      <c r="F236" s="11">
        <f>ROUND(C12*476,0)</f>
        <v>4998</v>
      </c>
      <c r="G236" s="35">
        <v>50</v>
      </c>
      <c r="H236" s="17"/>
    </row>
    <row r="237" spans="2:8" s="1" customFormat="1" ht="13.5" customHeight="1" x14ac:dyDescent="0.15">
      <c r="B237" s="33"/>
      <c r="C237" s="7" t="s">
        <v>6</v>
      </c>
      <c r="D237" s="10">
        <v>7</v>
      </c>
      <c r="E237" s="8" t="s">
        <v>7</v>
      </c>
      <c r="F237" s="12">
        <f>ROUND(C12*530,0)</f>
        <v>5565</v>
      </c>
      <c r="G237" s="36"/>
      <c r="H237" s="17"/>
    </row>
    <row r="238" spans="2:8" s="1" customFormat="1" ht="14.25" thickBot="1" x14ac:dyDescent="0.2">
      <c r="B238" s="34"/>
      <c r="C238" s="18" t="s">
        <v>16</v>
      </c>
      <c r="D238" s="19" t="s">
        <v>408</v>
      </c>
      <c r="E238" s="20" t="s">
        <v>17</v>
      </c>
      <c r="F238" s="21" t="s">
        <v>36</v>
      </c>
      <c r="G238" s="22" t="s">
        <v>20</v>
      </c>
      <c r="H238" s="23" t="s">
        <v>37</v>
      </c>
    </row>
    <row r="239" spans="2:8" s="1" customFormat="1" x14ac:dyDescent="0.15">
      <c r="B239" s="13" t="s">
        <v>1</v>
      </c>
      <c r="C239" s="14" t="s">
        <v>0</v>
      </c>
      <c r="D239" s="29" t="s">
        <v>161</v>
      </c>
      <c r="E239" s="30"/>
      <c r="F239" s="31"/>
      <c r="G239" s="15" t="s">
        <v>57</v>
      </c>
      <c r="H239" s="16" t="s">
        <v>46</v>
      </c>
    </row>
    <row r="240" spans="2:8" s="1" customFormat="1" x14ac:dyDescent="0.15">
      <c r="B240" s="32">
        <v>300046</v>
      </c>
      <c r="C240" s="2" t="s">
        <v>2</v>
      </c>
      <c r="D240" s="9">
        <f>ROUND(C12*680,0)</f>
        <v>7140</v>
      </c>
      <c r="E240" s="3" t="s">
        <v>3</v>
      </c>
      <c r="F240" s="11">
        <f>ROUND(C12*880,0)</f>
        <v>9240</v>
      </c>
      <c r="G240" s="4" t="s">
        <v>8</v>
      </c>
      <c r="H240" s="17" t="s">
        <v>27</v>
      </c>
    </row>
    <row r="241" spans="2:8" s="1" customFormat="1" ht="13.5" customHeight="1" x14ac:dyDescent="0.15">
      <c r="B241" s="33"/>
      <c r="C241" s="5" t="s">
        <v>4</v>
      </c>
      <c r="D241" s="9">
        <f>ROUND(C12*880,0)</f>
        <v>9240</v>
      </c>
      <c r="E241" s="6" t="s">
        <v>5</v>
      </c>
      <c r="F241" s="11">
        <f>ROUND(C12*476,0)</f>
        <v>4998</v>
      </c>
      <c r="G241" s="35">
        <v>100</v>
      </c>
      <c r="H241" s="17"/>
    </row>
    <row r="242" spans="2:8" s="1" customFormat="1" ht="13.5" customHeight="1" x14ac:dyDescent="0.15">
      <c r="B242" s="33"/>
      <c r="C242" s="7" t="s">
        <v>6</v>
      </c>
      <c r="D242" s="10">
        <v>7</v>
      </c>
      <c r="E242" s="8" t="s">
        <v>7</v>
      </c>
      <c r="F242" s="12">
        <f>ROUND(C12*530,0)</f>
        <v>5565</v>
      </c>
      <c r="G242" s="36"/>
      <c r="H242" s="17"/>
    </row>
    <row r="243" spans="2:8" s="1" customFormat="1" ht="14.25" thickBot="1" x14ac:dyDescent="0.2">
      <c r="B243" s="34"/>
      <c r="C243" s="18" t="s">
        <v>16</v>
      </c>
      <c r="D243" s="19" t="s">
        <v>409</v>
      </c>
      <c r="E243" s="20" t="s">
        <v>17</v>
      </c>
      <c r="F243" s="21" t="s">
        <v>71</v>
      </c>
      <c r="G243" s="22" t="s">
        <v>20</v>
      </c>
      <c r="H243" s="23" t="s">
        <v>37</v>
      </c>
    </row>
    <row r="244" spans="2:8" s="1" customFormat="1" x14ac:dyDescent="0.15">
      <c r="B244" s="13" t="s">
        <v>1</v>
      </c>
      <c r="C244" s="14" t="s">
        <v>0</v>
      </c>
      <c r="D244" s="29" t="s">
        <v>162</v>
      </c>
      <c r="E244" s="30"/>
      <c r="F244" s="31"/>
      <c r="G244" s="15" t="s">
        <v>57</v>
      </c>
      <c r="H244" s="16" t="s">
        <v>163</v>
      </c>
    </row>
    <row r="245" spans="2:8" s="1" customFormat="1" x14ac:dyDescent="0.15">
      <c r="B245" s="32">
        <v>300047</v>
      </c>
      <c r="C245" s="2" t="s">
        <v>2</v>
      </c>
      <c r="D245" s="9">
        <f>ROUND(C12*680,0)</f>
        <v>7140</v>
      </c>
      <c r="E245" s="3" t="s">
        <v>3</v>
      </c>
      <c r="F245" s="11">
        <f>ROUND(C12*880,0)</f>
        <v>9240</v>
      </c>
      <c r="G245" s="4" t="s">
        <v>8</v>
      </c>
      <c r="H245" s="17" t="s">
        <v>164</v>
      </c>
    </row>
    <row r="246" spans="2:8" s="1" customFormat="1" ht="13.5" customHeight="1" x14ac:dyDescent="0.15">
      <c r="B246" s="33"/>
      <c r="C246" s="5" t="s">
        <v>4</v>
      </c>
      <c r="D246" s="9">
        <f>ROUND(C12*880,0)</f>
        <v>9240</v>
      </c>
      <c r="E246" s="6" t="s">
        <v>5</v>
      </c>
      <c r="F246" s="11">
        <f>ROUND(C12*476,0)</f>
        <v>4998</v>
      </c>
      <c r="G246" s="35">
        <v>50</v>
      </c>
      <c r="H246" s="17"/>
    </row>
    <row r="247" spans="2:8" s="1" customFormat="1" ht="13.5" customHeight="1" x14ac:dyDescent="0.15">
      <c r="B247" s="33"/>
      <c r="C247" s="7" t="s">
        <v>6</v>
      </c>
      <c r="D247" s="10">
        <v>7</v>
      </c>
      <c r="E247" s="8" t="s">
        <v>7</v>
      </c>
      <c r="F247" s="12">
        <f>ROUND(C12*370,0)</f>
        <v>3885</v>
      </c>
      <c r="G247" s="36"/>
      <c r="H247" s="17"/>
    </row>
    <row r="248" spans="2:8" s="1" customFormat="1" ht="14.25" thickBot="1" x14ac:dyDescent="0.2">
      <c r="B248" s="34"/>
      <c r="C248" s="18" t="s">
        <v>16</v>
      </c>
      <c r="D248" s="19" t="s">
        <v>39</v>
      </c>
      <c r="E248" s="20" t="s">
        <v>17</v>
      </c>
      <c r="F248" s="21" t="s">
        <v>71</v>
      </c>
      <c r="G248" s="22" t="s">
        <v>20</v>
      </c>
      <c r="H248" s="23" t="s">
        <v>37</v>
      </c>
    </row>
    <row r="249" spans="2:8" s="1" customFormat="1" x14ac:dyDescent="0.15">
      <c r="B249" s="13" t="s">
        <v>1</v>
      </c>
      <c r="C249" s="14" t="s">
        <v>0</v>
      </c>
      <c r="D249" s="29" t="s">
        <v>165</v>
      </c>
      <c r="E249" s="30"/>
      <c r="F249" s="31"/>
      <c r="G249" s="15" t="s">
        <v>57</v>
      </c>
      <c r="H249" s="16" t="s">
        <v>74</v>
      </c>
    </row>
    <row r="250" spans="2:8" s="1" customFormat="1" x14ac:dyDescent="0.15">
      <c r="B250" s="32">
        <v>300048</v>
      </c>
      <c r="C250" s="2" t="s">
        <v>2</v>
      </c>
      <c r="D250" s="9">
        <f>ROUND(C12*680,0)</f>
        <v>7140</v>
      </c>
      <c r="E250" s="3" t="s">
        <v>3</v>
      </c>
      <c r="F250" s="11">
        <f>ROUND(C12*1936,0)</f>
        <v>20328</v>
      </c>
      <c r="G250" s="4" t="s">
        <v>8</v>
      </c>
      <c r="H250" s="17" t="s">
        <v>75</v>
      </c>
    </row>
    <row r="251" spans="2:8" s="1" customFormat="1" ht="13.5" customHeight="1" x14ac:dyDescent="0.15">
      <c r="B251" s="33"/>
      <c r="C251" s="5" t="s">
        <v>4</v>
      </c>
      <c r="D251" s="9">
        <f>ROUND(C12*880,0)</f>
        <v>9240</v>
      </c>
      <c r="E251" s="6" t="s">
        <v>5</v>
      </c>
      <c r="F251" s="11">
        <f>ROUND(C12*980,0)</f>
        <v>10290</v>
      </c>
      <c r="G251" s="35">
        <v>100</v>
      </c>
      <c r="H251" s="17"/>
    </row>
    <row r="252" spans="2:8" s="1" customFormat="1" ht="13.5" customHeight="1" x14ac:dyDescent="0.15">
      <c r="B252" s="33"/>
      <c r="C252" s="7" t="s">
        <v>6</v>
      </c>
      <c r="D252" s="10">
        <v>4</v>
      </c>
      <c r="E252" s="8" t="s">
        <v>7</v>
      </c>
      <c r="F252" s="12">
        <f>ROUND(C12*480,0)</f>
        <v>5040</v>
      </c>
      <c r="G252" s="36"/>
      <c r="H252" s="17"/>
    </row>
    <row r="253" spans="2:8" s="1" customFormat="1" ht="14.25" thickBot="1" x14ac:dyDescent="0.2">
      <c r="B253" s="34"/>
      <c r="C253" s="18" t="s">
        <v>16</v>
      </c>
      <c r="D253" s="19" t="s">
        <v>42</v>
      </c>
      <c r="E253" s="20" t="s">
        <v>17</v>
      </c>
      <c r="F253" s="21" t="s">
        <v>113</v>
      </c>
      <c r="G253" s="22" t="s">
        <v>20</v>
      </c>
      <c r="H253" s="23" t="s">
        <v>37</v>
      </c>
    </row>
    <row r="254" spans="2:8" s="1" customFormat="1" x14ac:dyDescent="0.15">
      <c r="B254" s="13" t="s">
        <v>1</v>
      </c>
      <c r="C254" s="14" t="s">
        <v>0</v>
      </c>
      <c r="D254" s="29" t="s">
        <v>166</v>
      </c>
      <c r="E254" s="30"/>
      <c r="F254" s="31"/>
      <c r="G254" s="15" t="s">
        <v>57</v>
      </c>
      <c r="H254" s="16" t="s">
        <v>167</v>
      </c>
    </row>
    <row r="255" spans="2:8" s="1" customFormat="1" x14ac:dyDescent="0.15">
      <c r="B255" s="32">
        <v>300049</v>
      </c>
      <c r="C255" s="2" t="s">
        <v>2</v>
      </c>
      <c r="D255" s="9">
        <f>ROUND(C12*680,0)</f>
        <v>7140</v>
      </c>
      <c r="E255" s="3" t="s">
        <v>3</v>
      </c>
      <c r="F255" s="11">
        <f>ROUND(C12*880,0)</f>
        <v>9240</v>
      </c>
      <c r="G255" s="4" t="s">
        <v>8</v>
      </c>
      <c r="H255" s="17" t="s">
        <v>168</v>
      </c>
    </row>
    <row r="256" spans="2:8" s="1" customFormat="1" ht="13.5" customHeight="1" x14ac:dyDescent="0.15">
      <c r="B256" s="33"/>
      <c r="C256" s="5" t="s">
        <v>4</v>
      </c>
      <c r="D256" s="9">
        <f>ROUND(C12*880,0)</f>
        <v>9240</v>
      </c>
      <c r="E256" s="6" t="s">
        <v>5</v>
      </c>
      <c r="F256" s="11">
        <f>ROUND(C12*476,0)</f>
        <v>4998</v>
      </c>
      <c r="G256" s="35">
        <v>50</v>
      </c>
      <c r="H256" s="17"/>
    </row>
    <row r="257" spans="2:8" s="1" customFormat="1" ht="13.5" customHeight="1" x14ac:dyDescent="0.15">
      <c r="B257" s="33"/>
      <c r="C257" s="7" t="s">
        <v>6</v>
      </c>
      <c r="D257" s="10">
        <v>7</v>
      </c>
      <c r="E257" s="8" t="s">
        <v>7</v>
      </c>
      <c r="F257" s="12">
        <f>ROUND(C12*530,0)</f>
        <v>5565</v>
      </c>
      <c r="G257" s="36"/>
      <c r="H257" s="17"/>
    </row>
    <row r="258" spans="2:8" s="1" customFormat="1" ht="14.25" thickBot="1" x14ac:dyDescent="0.2">
      <c r="B258" s="34"/>
      <c r="C258" s="18" t="s">
        <v>16</v>
      </c>
      <c r="D258" s="19" t="s">
        <v>372</v>
      </c>
      <c r="E258" s="20" t="s">
        <v>17</v>
      </c>
      <c r="F258" s="21" t="s">
        <v>32</v>
      </c>
      <c r="G258" s="22" t="s">
        <v>20</v>
      </c>
      <c r="H258" s="23" t="s">
        <v>114</v>
      </c>
    </row>
    <row r="259" spans="2:8" s="1" customFormat="1" x14ac:dyDescent="0.15">
      <c r="B259" s="13" t="s">
        <v>1</v>
      </c>
      <c r="C259" s="14" t="s">
        <v>0</v>
      </c>
      <c r="D259" s="29" t="s">
        <v>169</v>
      </c>
      <c r="E259" s="30"/>
      <c r="F259" s="31"/>
      <c r="G259" s="15" t="s">
        <v>57</v>
      </c>
      <c r="H259" s="16" t="s">
        <v>80</v>
      </c>
    </row>
    <row r="260" spans="2:8" s="1" customFormat="1" x14ac:dyDescent="0.15">
      <c r="B260" s="32">
        <v>300050</v>
      </c>
      <c r="C260" s="2" t="s">
        <v>2</v>
      </c>
      <c r="D260" s="9">
        <f>ROUND(C12*680,0)</f>
        <v>7140</v>
      </c>
      <c r="E260" s="3" t="s">
        <v>3</v>
      </c>
      <c r="F260" s="11">
        <f>ROUND(C12*880,0)</f>
        <v>9240</v>
      </c>
      <c r="G260" s="4" t="s">
        <v>8</v>
      </c>
      <c r="H260" s="17" t="s">
        <v>81</v>
      </c>
    </row>
    <row r="261" spans="2:8" s="1" customFormat="1" ht="13.5" customHeight="1" x14ac:dyDescent="0.15">
      <c r="B261" s="33"/>
      <c r="C261" s="5" t="s">
        <v>4</v>
      </c>
      <c r="D261" s="9">
        <f>ROUND(C12*880,0)</f>
        <v>9240</v>
      </c>
      <c r="E261" s="6" t="s">
        <v>5</v>
      </c>
      <c r="F261" s="11">
        <f>ROUND(C12*476,0)</f>
        <v>4998</v>
      </c>
      <c r="G261" s="35">
        <v>100</v>
      </c>
      <c r="H261" s="17"/>
    </row>
    <row r="262" spans="2:8" s="1" customFormat="1" ht="13.5" customHeight="1" x14ac:dyDescent="0.15">
      <c r="B262" s="33"/>
      <c r="C262" s="7" t="s">
        <v>6</v>
      </c>
      <c r="D262" s="10">
        <v>7</v>
      </c>
      <c r="E262" s="8" t="s">
        <v>7</v>
      </c>
      <c r="F262" s="12">
        <f>ROUND(C12*530,0)</f>
        <v>5565</v>
      </c>
      <c r="G262" s="36"/>
      <c r="H262" s="17"/>
    </row>
    <row r="263" spans="2:8" s="1" customFormat="1" ht="14.25" thickBot="1" x14ac:dyDescent="0.2">
      <c r="B263" s="34"/>
      <c r="C263" s="18" t="s">
        <v>16</v>
      </c>
      <c r="D263" s="19" t="s">
        <v>410</v>
      </c>
      <c r="E263" s="20" t="s">
        <v>17</v>
      </c>
      <c r="F263" s="21" t="s">
        <v>218</v>
      </c>
      <c r="G263" s="22" t="s">
        <v>20</v>
      </c>
      <c r="H263" s="23" t="s">
        <v>37</v>
      </c>
    </row>
    <row r="264" spans="2:8" s="1" customFormat="1" x14ac:dyDescent="0.15">
      <c r="B264" s="13" t="s">
        <v>1</v>
      </c>
      <c r="C264" s="14" t="s">
        <v>0</v>
      </c>
      <c r="D264" s="29" t="s">
        <v>170</v>
      </c>
      <c r="E264" s="30"/>
      <c r="F264" s="31"/>
      <c r="G264" s="15" t="s">
        <v>57</v>
      </c>
      <c r="H264" s="16" t="s">
        <v>35</v>
      </c>
    </row>
    <row r="265" spans="2:8" s="1" customFormat="1" x14ac:dyDescent="0.15">
      <c r="B265" s="32">
        <v>300051</v>
      </c>
      <c r="C265" s="2" t="s">
        <v>2</v>
      </c>
      <c r="D265" s="9">
        <f>ROUND(C12*680,0)</f>
        <v>7140</v>
      </c>
      <c r="E265" s="3" t="s">
        <v>3</v>
      </c>
      <c r="F265" s="11">
        <f>ROUND(C12*1936,0)</f>
        <v>20328</v>
      </c>
      <c r="G265" s="4" t="s">
        <v>8</v>
      </c>
      <c r="H265" s="17" t="s">
        <v>23</v>
      </c>
    </row>
    <row r="266" spans="2:8" s="1" customFormat="1" ht="13.5" customHeight="1" x14ac:dyDescent="0.15">
      <c r="B266" s="33"/>
      <c r="C266" s="5" t="s">
        <v>4</v>
      </c>
      <c r="D266" s="9">
        <f>ROUND(C12*880,0)</f>
        <v>9240</v>
      </c>
      <c r="E266" s="6" t="s">
        <v>5</v>
      </c>
      <c r="F266" s="11">
        <f>ROUND(C12*980,0)</f>
        <v>10290</v>
      </c>
      <c r="G266" s="35">
        <v>100</v>
      </c>
      <c r="H266" s="17"/>
    </row>
    <row r="267" spans="2:8" s="1" customFormat="1" ht="13.5" customHeight="1" x14ac:dyDescent="0.15">
      <c r="B267" s="33"/>
      <c r="C267" s="7" t="s">
        <v>6</v>
      </c>
      <c r="D267" s="10">
        <v>4</v>
      </c>
      <c r="E267" s="8" t="s">
        <v>7</v>
      </c>
      <c r="F267" s="12">
        <f>ROUND(C12*370,0)</f>
        <v>3885</v>
      </c>
      <c r="G267" s="36"/>
      <c r="H267" s="17"/>
    </row>
    <row r="268" spans="2:8" s="1" customFormat="1" ht="14.25" thickBot="1" x14ac:dyDescent="0.2">
      <c r="B268" s="34"/>
      <c r="C268" s="18" t="s">
        <v>16</v>
      </c>
      <c r="D268" s="19" t="s">
        <v>411</v>
      </c>
      <c r="E268" s="20" t="s">
        <v>17</v>
      </c>
      <c r="F268" s="21" t="s">
        <v>392</v>
      </c>
      <c r="G268" s="22" t="s">
        <v>20</v>
      </c>
      <c r="H268" s="23" t="s">
        <v>37</v>
      </c>
    </row>
    <row r="269" spans="2:8" s="1" customFormat="1" x14ac:dyDescent="0.15">
      <c r="B269" s="13" t="s">
        <v>1</v>
      </c>
      <c r="C269" s="14" t="s">
        <v>0</v>
      </c>
      <c r="D269" s="29" t="s">
        <v>171</v>
      </c>
      <c r="E269" s="30"/>
      <c r="F269" s="31"/>
      <c r="G269" s="15" t="s">
        <v>57</v>
      </c>
      <c r="H269" s="16" t="s">
        <v>77</v>
      </c>
    </row>
    <row r="270" spans="2:8" s="1" customFormat="1" x14ac:dyDescent="0.15">
      <c r="B270" s="32">
        <v>300052</v>
      </c>
      <c r="C270" s="2" t="s">
        <v>2</v>
      </c>
      <c r="D270" s="9">
        <f>ROUND(C12*680,0)</f>
        <v>7140</v>
      </c>
      <c r="E270" s="3" t="s">
        <v>3</v>
      </c>
      <c r="F270" s="11">
        <f>ROUND(C12*880,0)</f>
        <v>9240</v>
      </c>
      <c r="G270" s="4" t="s">
        <v>8</v>
      </c>
      <c r="H270" s="17" t="s">
        <v>78</v>
      </c>
    </row>
    <row r="271" spans="2:8" s="1" customFormat="1" ht="13.5" customHeight="1" x14ac:dyDescent="0.15">
      <c r="B271" s="33"/>
      <c r="C271" s="5" t="s">
        <v>4</v>
      </c>
      <c r="D271" s="9">
        <f>ROUND(C12*880,0)</f>
        <v>9240</v>
      </c>
      <c r="E271" s="6" t="s">
        <v>5</v>
      </c>
      <c r="F271" s="11">
        <f>ROUND(C12*476,0)</f>
        <v>4998</v>
      </c>
      <c r="G271" s="35">
        <v>100</v>
      </c>
      <c r="H271" s="17"/>
    </row>
    <row r="272" spans="2:8" s="1" customFormat="1" ht="13.5" customHeight="1" x14ac:dyDescent="0.15">
      <c r="B272" s="33"/>
      <c r="C272" s="7" t="s">
        <v>6</v>
      </c>
      <c r="D272" s="10">
        <v>7</v>
      </c>
      <c r="E272" s="8" t="s">
        <v>7</v>
      </c>
      <c r="F272" s="12">
        <f>ROUND(C12*530,0)</f>
        <v>5565</v>
      </c>
      <c r="G272" s="36"/>
      <c r="H272" s="17"/>
    </row>
    <row r="273" spans="2:8" s="1" customFormat="1" ht="14.25" thickBot="1" x14ac:dyDescent="0.2">
      <c r="B273" s="34"/>
      <c r="C273" s="18" t="s">
        <v>16</v>
      </c>
      <c r="D273" s="19" t="s">
        <v>393</v>
      </c>
      <c r="E273" s="20" t="s">
        <v>17</v>
      </c>
      <c r="F273" s="21" t="s">
        <v>54</v>
      </c>
      <c r="G273" s="22" t="s">
        <v>20</v>
      </c>
      <c r="H273" s="23" t="s">
        <v>37</v>
      </c>
    </row>
    <row r="274" spans="2:8" s="1" customFormat="1" x14ac:dyDescent="0.15">
      <c r="B274" s="13" t="s">
        <v>1</v>
      </c>
      <c r="C274" s="14" t="s">
        <v>0</v>
      </c>
      <c r="D274" s="29" t="s">
        <v>172</v>
      </c>
      <c r="E274" s="30"/>
      <c r="F274" s="31"/>
      <c r="G274" s="15" t="s">
        <v>57</v>
      </c>
      <c r="H274" s="16" t="s">
        <v>173</v>
      </c>
    </row>
    <row r="275" spans="2:8" s="1" customFormat="1" x14ac:dyDescent="0.15">
      <c r="B275" s="32">
        <v>300053</v>
      </c>
      <c r="C275" s="2" t="s">
        <v>2</v>
      </c>
      <c r="D275" s="9">
        <f>ROUND(C12*680,0)</f>
        <v>7140</v>
      </c>
      <c r="E275" s="3" t="s">
        <v>3</v>
      </c>
      <c r="F275" s="11">
        <f>ROUND(C12*880,0)</f>
        <v>9240</v>
      </c>
      <c r="G275" s="4" t="s">
        <v>8</v>
      </c>
      <c r="H275" s="17" t="s">
        <v>174</v>
      </c>
    </row>
    <row r="276" spans="2:8" s="1" customFormat="1" ht="13.5" customHeight="1" x14ac:dyDescent="0.15">
      <c r="B276" s="33"/>
      <c r="C276" s="5" t="s">
        <v>4</v>
      </c>
      <c r="D276" s="9">
        <f>ROUND(C12*880,0)</f>
        <v>9240</v>
      </c>
      <c r="E276" s="6" t="s">
        <v>5</v>
      </c>
      <c r="F276" s="11">
        <f>ROUND(C12*476,0)</f>
        <v>4998</v>
      </c>
      <c r="G276" s="35">
        <v>100</v>
      </c>
      <c r="H276" s="17"/>
    </row>
    <row r="277" spans="2:8" s="1" customFormat="1" ht="13.5" customHeight="1" x14ac:dyDescent="0.15">
      <c r="B277" s="33"/>
      <c r="C277" s="7" t="s">
        <v>6</v>
      </c>
      <c r="D277" s="10">
        <v>7</v>
      </c>
      <c r="E277" s="8" t="s">
        <v>7</v>
      </c>
      <c r="F277" s="12">
        <f>ROUND(C12*530,0)</f>
        <v>5565</v>
      </c>
      <c r="G277" s="36"/>
      <c r="H277" s="17"/>
    </row>
    <row r="278" spans="2:8" s="1" customFormat="1" ht="14.25" thickBot="1" x14ac:dyDescent="0.2">
      <c r="B278" s="34"/>
      <c r="C278" s="18" t="s">
        <v>16</v>
      </c>
      <c r="D278" s="19" t="s">
        <v>408</v>
      </c>
      <c r="E278" s="20" t="s">
        <v>17</v>
      </c>
      <c r="F278" s="21" t="s">
        <v>36</v>
      </c>
      <c r="G278" s="22" t="s">
        <v>20</v>
      </c>
      <c r="H278" s="23" t="s">
        <v>37</v>
      </c>
    </row>
    <row r="279" spans="2:8" s="1" customFormat="1" x14ac:dyDescent="0.15">
      <c r="B279" s="13" t="s">
        <v>1</v>
      </c>
      <c r="C279" s="14" t="s">
        <v>0</v>
      </c>
      <c r="D279" s="29" t="s">
        <v>175</v>
      </c>
      <c r="E279" s="30"/>
      <c r="F279" s="31"/>
      <c r="G279" s="15" t="s">
        <v>57</v>
      </c>
      <c r="H279" s="16" t="s">
        <v>91</v>
      </c>
    </row>
    <row r="280" spans="2:8" s="1" customFormat="1" x14ac:dyDescent="0.15">
      <c r="B280" s="32">
        <v>300054</v>
      </c>
      <c r="C280" s="2" t="s">
        <v>2</v>
      </c>
      <c r="D280" s="9">
        <f>ROUND(C12*680,0)</f>
        <v>7140</v>
      </c>
      <c r="E280" s="3" t="s">
        <v>3</v>
      </c>
      <c r="F280" s="11">
        <f>ROUND(C12*1936,0)</f>
        <v>20328</v>
      </c>
      <c r="G280" s="4" t="s">
        <v>8</v>
      </c>
      <c r="H280" s="17" t="s">
        <v>92</v>
      </c>
    </row>
    <row r="281" spans="2:8" s="1" customFormat="1" ht="13.5" customHeight="1" x14ac:dyDescent="0.15">
      <c r="B281" s="33"/>
      <c r="C281" s="5" t="s">
        <v>4</v>
      </c>
      <c r="D281" s="9">
        <f>ROUND(C12*880,0)</f>
        <v>9240</v>
      </c>
      <c r="E281" s="6" t="s">
        <v>5</v>
      </c>
      <c r="F281" s="11">
        <f>ROUND(C12*980,0)</f>
        <v>10290</v>
      </c>
      <c r="G281" s="35">
        <v>100</v>
      </c>
      <c r="H281" s="17"/>
    </row>
    <row r="282" spans="2:8" s="1" customFormat="1" ht="13.5" customHeight="1" x14ac:dyDescent="0.15">
      <c r="B282" s="33"/>
      <c r="C282" s="7" t="s">
        <v>6</v>
      </c>
      <c r="D282" s="10">
        <v>4</v>
      </c>
      <c r="E282" s="8" t="s">
        <v>7</v>
      </c>
      <c r="F282" s="12">
        <f>ROUND(C12*530,0)</f>
        <v>5565</v>
      </c>
      <c r="G282" s="36"/>
      <c r="H282" s="17"/>
    </row>
    <row r="283" spans="2:8" s="1" customFormat="1" ht="14.25" thickBot="1" x14ac:dyDescent="0.2">
      <c r="B283" s="34"/>
      <c r="C283" s="18" t="s">
        <v>16</v>
      </c>
      <c r="D283" s="19" t="s">
        <v>393</v>
      </c>
      <c r="E283" s="20" t="s">
        <v>17</v>
      </c>
      <c r="F283" s="21" t="s">
        <v>397</v>
      </c>
      <c r="G283" s="22" t="s">
        <v>20</v>
      </c>
      <c r="H283" s="23" t="s">
        <v>37</v>
      </c>
    </row>
    <row r="284" spans="2:8" s="1" customFormat="1" x14ac:dyDescent="0.15">
      <c r="B284" s="13" t="s">
        <v>1</v>
      </c>
      <c r="C284" s="14" t="s">
        <v>0</v>
      </c>
      <c r="D284" s="29" t="s">
        <v>176</v>
      </c>
      <c r="E284" s="30"/>
      <c r="F284" s="31"/>
      <c r="G284" s="15" t="s">
        <v>57</v>
      </c>
      <c r="H284" s="16" t="s">
        <v>177</v>
      </c>
    </row>
    <row r="285" spans="2:8" s="1" customFormat="1" x14ac:dyDescent="0.15">
      <c r="B285" s="32">
        <v>300055</v>
      </c>
      <c r="C285" s="2" t="s">
        <v>2</v>
      </c>
      <c r="D285" s="9">
        <f>ROUND(C12*680,0)</f>
        <v>7140</v>
      </c>
      <c r="E285" s="3" t="s">
        <v>3</v>
      </c>
      <c r="F285" s="11">
        <f>ROUND(C12*880,0)</f>
        <v>9240</v>
      </c>
      <c r="G285" s="4" t="s">
        <v>8</v>
      </c>
      <c r="H285" s="17" t="s">
        <v>178</v>
      </c>
    </row>
    <row r="286" spans="2:8" s="1" customFormat="1" ht="13.5" customHeight="1" x14ac:dyDescent="0.15">
      <c r="B286" s="33"/>
      <c r="C286" s="5" t="s">
        <v>4</v>
      </c>
      <c r="D286" s="9">
        <f>ROUND(C12*880,0)</f>
        <v>9240</v>
      </c>
      <c r="E286" s="6" t="s">
        <v>5</v>
      </c>
      <c r="F286" s="11">
        <f>ROUND(C12*476,0)</f>
        <v>4998</v>
      </c>
      <c r="G286" s="35">
        <v>100</v>
      </c>
      <c r="H286" s="17"/>
    </row>
    <row r="287" spans="2:8" s="1" customFormat="1" ht="13.5" customHeight="1" x14ac:dyDescent="0.15">
      <c r="B287" s="33"/>
      <c r="C287" s="7" t="s">
        <v>6</v>
      </c>
      <c r="D287" s="10">
        <v>7</v>
      </c>
      <c r="E287" s="8" t="s">
        <v>7</v>
      </c>
      <c r="F287" s="12">
        <f>ROUND(C12*530,0)</f>
        <v>5565</v>
      </c>
      <c r="G287" s="36"/>
      <c r="H287" s="17"/>
    </row>
    <row r="288" spans="2:8" s="1" customFormat="1" ht="14.25" thickBot="1" x14ac:dyDescent="0.2">
      <c r="B288" s="34"/>
      <c r="C288" s="18" t="s">
        <v>16</v>
      </c>
      <c r="D288" s="19" t="s">
        <v>412</v>
      </c>
      <c r="E288" s="20" t="s">
        <v>17</v>
      </c>
      <c r="F288" s="21" t="s">
        <v>397</v>
      </c>
      <c r="G288" s="22" t="s">
        <v>20</v>
      </c>
      <c r="H288" s="23" t="s">
        <v>37</v>
      </c>
    </row>
    <row r="289" spans="2:8" s="1" customFormat="1" x14ac:dyDescent="0.15">
      <c r="B289" s="13" t="s">
        <v>1</v>
      </c>
      <c r="C289" s="14" t="s">
        <v>0</v>
      </c>
      <c r="D289" s="29" t="s">
        <v>179</v>
      </c>
      <c r="E289" s="30"/>
      <c r="F289" s="31"/>
      <c r="G289" s="15" t="s">
        <v>57</v>
      </c>
      <c r="H289" s="16" t="s">
        <v>41</v>
      </c>
    </row>
    <row r="290" spans="2:8" s="1" customFormat="1" x14ac:dyDescent="0.15">
      <c r="B290" s="32">
        <v>300056</v>
      </c>
      <c r="C290" s="2" t="s">
        <v>2</v>
      </c>
      <c r="D290" s="9">
        <f>ROUND(C12*680,0)</f>
        <v>7140</v>
      </c>
      <c r="E290" s="3" t="s">
        <v>3</v>
      </c>
      <c r="F290" s="11">
        <f>ROUND(C12*880,0)</f>
        <v>9240</v>
      </c>
      <c r="G290" s="4" t="s">
        <v>8</v>
      </c>
      <c r="H290" s="17" t="s">
        <v>25</v>
      </c>
    </row>
    <row r="291" spans="2:8" s="1" customFormat="1" ht="13.5" customHeight="1" x14ac:dyDescent="0.15">
      <c r="B291" s="33"/>
      <c r="C291" s="5" t="s">
        <v>4</v>
      </c>
      <c r="D291" s="9">
        <f>ROUND(C12*880,0)</f>
        <v>9240</v>
      </c>
      <c r="E291" s="6" t="s">
        <v>5</v>
      </c>
      <c r="F291" s="11">
        <f>ROUND(C12*476,0)</f>
        <v>4998</v>
      </c>
      <c r="G291" s="35">
        <v>100</v>
      </c>
      <c r="H291" s="17"/>
    </row>
    <row r="292" spans="2:8" s="1" customFormat="1" ht="13.5" customHeight="1" x14ac:dyDescent="0.15">
      <c r="B292" s="33"/>
      <c r="C292" s="7" t="s">
        <v>6</v>
      </c>
      <c r="D292" s="10">
        <v>7</v>
      </c>
      <c r="E292" s="8" t="s">
        <v>7</v>
      </c>
      <c r="F292" s="12">
        <f>ROUND(C12*480,0)</f>
        <v>5040</v>
      </c>
      <c r="G292" s="36"/>
      <c r="H292" s="17"/>
    </row>
    <row r="293" spans="2:8" s="1" customFormat="1" ht="14.25" thickBot="1" x14ac:dyDescent="0.2">
      <c r="B293" s="34"/>
      <c r="C293" s="18" t="s">
        <v>16</v>
      </c>
      <c r="D293" s="19" t="s">
        <v>43</v>
      </c>
      <c r="E293" s="20" t="s">
        <v>17</v>
      </c>
      <c r="F293" s="21" t="s">
        <v>36</v>
      </c>
      <c r="G293" s="22" t="s">
        <v>20</v>
      </c>
      <c r="H293" s="23" t="s">
        <v>37</v>
      </c>
    </row>
    <row r="294" spans="2:8" s="1" customFormat="1" x14ac:dyDescent="0.15">
      <c r="B294" s="13" t="s">
        <v>1</v>
      </c>
      <c r="C294" s="14" t="s">
        <v>0</v>
      </c>
      <c r="D294" s="29" t="s">
        <v>180</v>
      </c>
      <c r="E294" s="30"/>
      <c r="F294" s="31"/>
      <c r="G294" s="15" t="s">
        <v>57</v>
      </c>
      <c r="H294" s="16" t="s">
        <v>124</v>
      </c>
    </row>
    <row r="295" spans="2:8" s="1" customFormat="1" x14ac:dyDescent="0.15">
      <c r="B295" s="32">
        <v>300057</v>
      </c>
      <c r="C295" s="2" t="s">
        <v>2</v>
      </c>
      <c r="D295" s="9">
        <f>ROUND(C12*680,0)</f>
        <v>7140</v>
      </c>
      <c r="E295" s="3" t="s">
        <v>3</v>
      </c>
      <c r="F295" s="11">
        <f>ROUND(C12*880,0)</f>
        <v>9240</v>
      </c>
      <c r="G295" s="4" t="s">
        <v>8</v>
      </c>
      <c r="H295" s="17" t="s">
        <v>403</v>
      </c>
    </row>
    <row r="296" spans="2:8" s="1" customFormat="1" ht="13.5" customHeight="1" x14ac:dyDescent="0.15">
      <c r="B296" s="33"/>
      <c r="C296" s="5" t="s">
        <v>4</v>
      </c>
      <c r="D296" s="9">
        <f>ROUND(C12*880,0)</f>
        <v>9240</v>
      </c>
      <c r="E296" s="6" t="s">
        <v>5</v>
      </c>
      <c r="F296" s="11">
        <f>ROUND(C12*476,0)</f>
        <v>4998</v>
      </c>
      <c r="G296" s="35">
        <v>30</v>
      </c>
      <c r="H296" s="17"/>
    </row>
    <row r="297" spans="2:8" s="1" customFormat="1" ht="13.5" customHeight="1" x14ac:dyDescent="0.15">
      <c r="B297" s="33"/>
      <c r="C297" s="7" t="s">
        <v>6</v>
      </c>
      <c r="D297" s="10">
        <v>7</v>
      </c>
      <c r="E297" s="8" t="s">
        <v>7</v>
      </c>
      <c r="F297" s="12">
        <f>ROUND(C12*370,0)</f>
        <v>3885</v>
      </c>
      <c r="G297" s="36"/>
      <c r="H297" s="17"/>
    </row>
    <row r="298" spans="2:8" s="1" customFormat="1" ht="14.25" thickBot="1" x14ac:dyDescent="0.2">
      <c r="B298" s="34"/>
      <c r="C298" s="18" t="s">
        <v>16</v>
      </c>
      <c r="D298" s="19" t="s">
        <v>377</v>
      </c>
      <c r="E298" s="20" t="s">
        <v>17</v>
      </c>
      <c r="F298" s="21" t="s">
        <v>56</v>
      </c>
      <c r="G298" s="22" t="s">
        <v>20</v>
      </c>
      <c r="H298" s="23" t="s">
        <v>37</v>
      </c>
    </row>
    <row r="299" spans="2:8" s="1" customFormat="1" x14ac:dyDescent="0.15">
      <c r="B299" s="13" t="s">
        <v>1</v>
      </c>
      <c r="C299" s="14" t="s">
        <v>0</v>
      </c>
      <c r="D299" s="29" t="s">
        <v>181</v>
      </c>
      <c r="E299" s="30"/>
      <c r="F299" s="31"/>
      <c r="G299" s="15" t="s">
        <v>57</v>
      </c>
      <c r="H299" s="16" t="s">
        <v>50</v>
      </c>
    </row>
    <row r="300" spans="2:8" s="1" customFormat="1" x14ac:dyDescent="0.15">
      <c r="B300" s="32">
        <v>300058</v>
      </c>
      <c r="C300" s="2" t="s">
        <v>2</v>
      </c>
      <c r="D300" s="9">
        <f>ROUND(C12*680,0)</f>
        <v>7140</v>
      </c>
      <c r="E300" s="3" t="s">
        <v>3</v>
      </c>
      <c r="F300" s="11">
        <f>ROUND(C12*1936,0)</f>
        <v>20328</v>
      </c>
      <c r="G300" s="4" t="s">
        <v>8</v>
      </c>
      <c r="H300" s="17" t="s">
        <v>29</v>
      </c>
    </row>
    <row r="301" spans="2:8" s="1" customFormat="1" ht="13.5" customHeight="1" x14ac:dyDescent="0.15">
      <c r="B301" s="33"/>
      <c r="C301" s="5" t="s">
        <v>4</v>
      </c>
      <c r="D301" s="9">
        <f>ROUND(C12*880,0)</f>
        <v>9240</v>
      </c>
      <c r="E301" s="6" t="s">
        <v>5</v>
      </c>
      <c r="F301" s="11">
        <f>ROUND(C12*980,0)</f>
        <v>10290</v>
      </c>
      <c r="G301" s="35">
        <v>100</v>
      </c>
      <c r="H301" s="17"/>
    </row>
    <row r="302" spans="2:8" s="1" customFormat="1" ht="13.5" customHeight="1" x14ac:dyDescent="0.15">
      <c r="B302" s="33"/>
      <c r="C302" s="7" t="s">
        <v>6</v>
      </c>
      <c r="D302" s="10">
        <v>4</v>
      </c>
      <c r="E302" s="8" t="s">
        <v>7</v>
      </c>
      <c r="F302" s="12">
        <f>ROUND(C12*480,0)</f>
        <v>5040</v>
      </c>
      <c r="G302" s="36"/>
      <c r="H302" s="17"/>
    </row>
    <row r="303" spans="2:8" s="1" customFormat="1" ht="14.25" thickBot="1" x14ac:dyDescent="0.2">
      <c r="B303" s="34"/>
      <c r="C303" s="18" t="s">
        <v>16</v>
      </c>
      <c r="D303" s="19" t="s">
        <v>372</v>
      </c>
      <c r="E303" s="20" t="s">
        <v>17</v>
      </c>
      <c r="F303" s="21" t="s">
        <v>113</v>
      </c>
      <c r="G303" s="22" t="s">
        <v>20</v>
      </c>
      <c r="H303" s="23" t="s">
        <v>37</v>
      </c>
    </row>
    <row r="304" spans="2:8" s="1" customFormat="1" x14ac:dyDescent="0.15">
      <c r="B304" s="13" t="s">
        <v>1</v>
      </c>
      <c r="C304" s="14" t="s">
        <v>0</v>
      </c>
      <c r="D304" s="29" t="s">
        <v>182</v>
      </c>
      <c r="E304" s="30"/>
      <c r="F304" s="31"/>
      <c r="G304" s="15" t="s">
        <v>57</v>
      </c>
      <c r="H304" s="16" t="s">
        <v>31</v>
      </c>
    </row>
    <row r="305" spans="2:8" s="1" customFormat="1" x14ac:dyDescent="0.15">
      <c r="B305" s="32">
        <v>300059</v>
      </c>
      <c r="C305" s="2" t="s">
        <v>2</v>
      </c>
      <c r="D305" s="9">
        <f>ROUND(C12*680,0)</f>
        <v>7140</v>
      </c>
      <c r="E305" s="3" t="s">
        <v>3</v>
      </c>
      <c r="F305" s="11">
        <f>ROUND(C12*880,0)</f>
        <v>9240</v>
      </c>
      <c r="G305" s="4" t="s">
        <v>8</v>
      </c>
      <c r="H305" s="17" t="s">
        <v>22</v>
      </c>
    </row>
    <row r="306" spans="2:8" s="1" customFormat="1" ht="13.5" customHeight="1" x14ac:dyDescent="0.15">
      <c r="B306" s="33"/>
      <c r="C306" s="5" t="s">
        <v>4</v>
      </c>
      <c r="D306" s="9">
        <f>ROUND(C12*880,0)</f>
        <v>9240</v>
      </c>
      <c r="E306" s="6" t="s">
        <v>5</v>
      </c>
      <c r="F306" s="11">
        <f>ROUND(C12*476,0)</f>
        <v>4998</v>
      </c>
      <c r="G306" s="35">
        <v>50</v>
      </c>
      <c r="H306" s="17"/>
    </row>
    <row r="307" spans="2:8" s="1" customFormat="1" ht="13.5" customHeight="1" x14ac:dyDescent="0.15">
      <c r="B307" s="33"/>
      <c r="C307" s="7" t="s">
        <v>6</v>
      </c>
      <c r="D307" s="10">
        <v>7</v>
      </c>
      <c r="E307" s="8" t="s">
        <v>7</v>
      </c>
      <c r="F307" s="12">
        <f>ROUND(C12*370,0)</f>
        <v>3885</v>
      </c>
      <c r="G307" s="36"/>
      <c r="H307" s="17"/>
    </row>
    <row r="308" spans="2:8" s="1" customFormat="1" ht="14.25" thickBot="1" x14ac:dyDescent="0.2">
      <c r="B308" s="34"/>
      <c r="C308" s="18" t="s">
        <v>16</v>
      </c>
      <c r="D308" s="19" t="s">
        <v>413</v>
      </c>
      <c r="E308" s="20" t="s">
        <v>17</v>
      </c>
      <c r="F308" s="21" t="s">
        <v>54</v>
      </c>
      <c r="G308" s="22" t="s">
        <v>20</v>
      </c>
      <c r="H308" s="23" t="s">
        <v>183</v>
      </c>
    </row>
    <row r="309" spans="2:8" s="1" customFormat="1" x14ac:dyDescent="0.15">
      <c r="B309" s="13" t="s">
        <v>1</v>
      </c>
      <c r="C309" s="14" t="s">
        <v>0</v>
      </c>
      <c r="D309" s="29" t="s">
        <v>184</v>
      </c>
      <c r="E309" s="30"/>
      <c r="F309" s="31"/>
      <c r="G309" s="15" t="s">
        <v>57</v>
      </c>
      <c r="H309" s="16" t="s">
        <v>98</v>
      </c>
    </row>
    <row r="310" spans="2:8" s="1" customFormat="1" x14ac:dyDescent="0.15">
      <c r="B310" s="32">
        <v>300060</v>
      </c>
      <c r="C310" s="2" t="s">
        <v>2</v>
      </c>
      <c r="D310" s="9">
        <f>ROUND(C12*680,0)</f>
        <v>7140</v>
      </c>
      <c r="E310" s="3" t="s">
        <v>3</v>
      </c>
      <c r="F310" s="11">
        <f>ROUND(C12*880,0)</f>
        <v>9240</v>
      </c>
      <c r="G310" s="4" t="s">
        <v>8</v>
      </c>
      <c r="H310" s="17" t="s">
        <v>99</v>
      </c>
    </row>
    <row r="311" spans="2:8" s="1" customFormat="1" ht="13.5" customHeight="1" x14ac:dyDescent="0.15">
      <c r="B311" s="33"/>
      <c r="C311" s="5" t="s">
        <v>4</v>
      </c>
      <c r="D311" s="9">
        <f>ROUND(C12*880,0)</f>
        <v>9240</v>
      </c>
      <c r="E311" s="6" t="s">
        <v>5</v>
      </c>
      <c r="F311" s="11">
        <f>ROUND(C12*476,0)</f>
        <v>4998</v>
      </c>
      <c r="G311" s="35">
        <v>100</v>
      </c>
      <c r="H311" s="17"/>
    </row>
    <row r="312" spans="2:8" s="1" customFormat="1" ht="13.5" customHeight="1" x14ac:dyDescent="0.15">
      <c r="B312" s="33"/>
      <c r="C312" s="7" t="s">
        <v>6</v>
      </c>
      <c r="D312" s="10">
        <v>7</v>
      </c>
      <c r="E312" s="8" t="s">
        <v>7</v>
      </c>
      <c r="F312" s="12">
        <f>ROUND(C12*530,0)</f>
        <v>5565</v>
      </c>
      <c r="G312" s="36"/>
      <c r="H312" s="17"/>
    </row>
    <row r="313" spans="2:8" s="1" customFormat="1" ht="14.25" thickBot="1" x14ac:dyDescent="0.2">
      <c r="B313" s="34"/>
      <c r="C313" s="18" t="s">
        <v>16</v>
      </c>
      <c r="D313" s="19" t="s">
        <v>371</v>
      </c>
      <c r="E313" s="20" t="s">
        <v>17</v>
      </c>
      <c r="F313" s="21" t="s">
        <v>82</v>
      </c>
      <c r="G313" s="22" t="s">
        <v>20</v>
      </c>
      <c r="H313" s="23" t="s">
        <v>37</v>
      </c>
    </row>
    <row r="314" spans="2:8" s="1" customFormat="1" x14ac:dyDescent="0.15">
      <c r="B314" s="13" t="s">
        <v>1</v>
      </c>
      <c r="C314" s="14" t="s">
        <v>0</v>
      </c>
      <c r="D314" s="29" t="s">
        <v>185</v>
      </c>
      <c r="E314" s="30"/>
      <c r="F314" s="31"/>
      <c r="G314" s="15" t="s">
        <v>57</v>
      </c>
      <c r="H314" s="16" t="s">
        <v>38</v>
      </c>
    </row>
    <row r="315" spans="2:8" s="1" customFormat="1" x14ac:dyDescent="0.15">
      <c r="B315" s="32">
        <v>300061</v>
      </c>
      <c r="C315" s="2" t="s">
        <v>2</v>
      </c>
      <c r="D315" s="9">
        <f>ROUND(C12*680,0)</f>
        <v>7140</v>
      </c>
      <c r="E315" s="3" t="s">
        <v>3</v>
      </c>
      <c r="F315" s="11">
        <f>ROUND(C12*880,0)</f>
        <v>9240</v>
      </c>
      <c r="G315" s="4" t="s">
        <v>8</v>
      </c>
      <c r="H315" s="17" t="s">
        <v>24</v>
      </c>
    </row>
    <row r="316" spans="2:8" s="1" customFormat="1" ht="13.5" customHeight="1" x14ac:dyDescent="0.15">
      <c r="B316" s="33"/>
      <c r="C316" s="5" t="s">
        <v>4</v>
      </c>
      <c r="D316" s="9">
        <f>ROUND(C12*880,0)</f>
        <v>9240</v>
      </c>
      <c r="E316" s="6" t="s">
        <v>5</v>
      </c>
      <c r="F316" s="11">
        <f>ROUND(C12*476,0)</f>
        <v>4998</v>
      </c>
      <c r="G316" s="35">
        <v>50</v>
      </c>
      <c r="H316" s="17"/>
    </row>
    <row r="317" spans="2:8" s="1" customFormat="1" ht="13.5" customHeight="1" x14ac:dyDescent="0.15">
      <c r="B317" s="33"/>
      <c r="C317" s="7" t="s">
        <v>6</v>
      </c>
      <c r="D317" s="10">
        <v>7</v>
      </c>
      <c r="E317" s="8" t="s">
        <v>7</v>
      </c>
      <c r="F317" s="12">
        <f>ROUND(C12*530,0)</f>
        <v>5565</v>
      </c>
      <c r="G317" s="36"/>
      <c r="H317" s="17"/>
    </row>
    <row r="318" spans="2:8" s="1" customFormat="1" ht="14.25" thickBot="1" x14ac:dyDescent="0.2">
      <c r="B318" s="34"/>
      <c r="C318" s="18" t="s">
        <v>16</v>
      </c>
      <c r="D318" s="19" t="s">
        <v>43</v>
      </c>
      <c r="E318" s="20" t="s">
        <v>17</v>
      </c>
      <c r="F318" s="21" t="s">
        <v>36</v>
      </c>
      <c r="G318" s="22" t="s">
        <v>20</v>
      </c>
      <c r="H318" s="23" t="s">
        <v>37</v>
      </c>
    </row>
    <row r="319" spans="2:8" s="1" customFormat="1" x14ac:dyDescent="0.15">
      <c r="B319" s="13" t="s">
        <v>1</v>
      </c>
      <c r="C319" s="14" t="s">
        <v>0</v>
      </c>
      <c r="D319" s="29" t="s">
        <v>186</v>
      </c>
      <c r="E319" s="30"/>
      <c r="F319" s="31"/>
      <c r="G319" s="15" t="s">
        <v>57</v>
      </c>
      <c r="H319" s="16" t="s">
        <v>108</v>
      </c>
    </row>
    <row r="320" spans="2:8" s="1" customFormat="1" x14ac:dyDescent="0.15">
      <c r="B320" s="32">
        <v>300062</v>
      </c>
      <c r="C320" s="2" t="s">
        <v>2</v>
      </c>
      <c r="D320" s="9">
        <f>ROUND(C12*680,0)</f>
        <v>7140</v>
      </c>
      <c r="E320" s="3" t="s">
        <v>3</v>
      </c>
      <c r="F320" s="11">
        <f>ROUND(C12*1936,0)</f>
        <v>20328</v>
      </c>
      <c r="G320" s="4" t="s">
        <v>8</v>
      </c>
      <c r="H320" s="17" t="s">
        <v>109</v>
      </c>
    </row>
    <row r="321" spans="2:8" s="1" customFormat="1" ht="13.5" customHeight="1" x14ac:dyDescent="0.15">
      <c r="B321" s="33"/>
      <c r="C321" s="5" t="s">
        <v>4</v>
      </c>
      <c r="D321" s="9">
        <f>ROUND(C12*880,0)</f>
        <v>9240</v>
      </c>
      <c r="E321" s="6" t="s">
        <v>5</v>
      </c>
      <c r="F321" s="11">
        <f>ROUND(C12*980,0)</f>
        <v>10290</v>
      </c>
      <c r="G321" s="35">
        <v>100</v>
      </c>
      <c r="H321" s="17"/>
    </row>
    <row r="322" spans="2:8" s="1" customFormat="1" ht="13.5" customHeight="1" x14ac:dyDescent="0.15">
      <c r="B322" s="33"/>
      <c r="C322" s="7" t="s">
        <v>6</v>
      </c>
      <c r="D322" s="10">
        <v>4</v>
      </c>
      <c r="E322" s="8" t="s">
        <v>7</v>
      </c>
      <c r="F322" s="12">
        <f>ROUND(C12*370,0)</f>
        <v>3885</v>
      </c>
      <c r="G322" s="36"/>
      <c r="H322" s="17"/>
    </row>
    <row r="323" spans="2:8" s="1" customFormat="1" ht="14.25" thickBot="1" x14ac:dyDescent="0.2">
      <c r="B323" s="34"/>
      <c r="C323" s="18" t="s">
        <v>16</v>
      </c>
      <c r="D323" s="19" t="s">
        <v>39</v>
      </c>
      <c r="E323" s="20" t="s">
        <v>17</v>
      </c>
      <c r="F323" s="21" t="s">
        <v>49</v>
      </c>
      <c r="G323" s="22" t="s">
        <v>20</v>
      </c>
      <c r="H323" s="23" t="s">
        <v>37</v>
      </c>
    </row>
    <row r="324" spans="2:8" s="1" customFormat="1" x14ac:dyDescent="0.15">
      <c r="B324" s="13" t="s">
        <v>1</v>
      </c>
      <c r="C324" s="14" t="s">
        <v>0</v>
      </c>
      <c r="D324" s="29" t="s">
        <v>187</v>
      </c>
      <c r="E324" s="30"/>
      <c r="F324" s="31"/>
      <c r="G324" s="15" t="s">
        <v>57</v>
      </c>
      <c r="H324" s="16" t="s">
        <v>188</v>
      </c>
    </row>
    <row r="325" spans="2:8" s="1" customFormat="1" x14ac:dyDescent="0.15">
      <c r="B325" s="32">
        <v>300063</v>
      </c>
      <c r="C325" s="2" t="s">
        <v>2</v>
      </c>
      <c r="D325" s="9">
        <f>ROUND(C12*680,0)</f>
        <v>7140</v>
      </c>
      <c r="E325" s="3" t="s">
        <v>3</v>
      </c>
      <c r="F325" s="11">
        <f>ROUND(C12*880,0)</f>
        <v>9240</v>
      </c>
      <c r="G325" s="4" t="s">
        <v>8</v>
      </c>
      <c r="H325" s="17" t="s">
        <v>189</v>
      </c>
    </row>
    <row r="326" spans="2:8" s="1" customFormat="1" ht="13.5" customHeight="1" x14ac:dyDescent="0.15">
      <c r="B326" s="33"/>
      <c r="C326" s="5" t="s">
        <v>4</v>
      </c>
      <c r="D326" s="9">
        <f>ROUND(C12*880,0)</f>
        <v>9240</v>
      </c>
      <c r="E326" s="6" t="s">
        <v>5</v>
      </c>
      <c r="F326" s="11">
        <f>ROUND(C12*476,0)</f>
        <v>4998</v>
      </c>
      <c r="G326" s="35">
        <v>50</v>
      </c>
      <c r="H326" s="17"/>
    </row>
    <row r="327" spans="2:8" s="1" customFormat="1" ht="13.5" customHeight="1" x14ac:dyDescent="0.15">
      <c r="B327" s="33"/>
      <c r="C327" s="7" t="s">
        <v>6</v>
      </c>
      <c r="D327" s="10">
        <v>7</v>
      </c>
      <c r="E327" s="8" t="s">
        <v>7</v>
      </c>
      <c r="F327" s="12">
        <f>ROUND(C12*370,0)</f>
        <v>3885</v>
      </c>
      <c r="G327" s="36"/>
      <c r="H327" s="17"/>
    </row>
    <row r="328" spans="2:8" s="1" customFormat="1" ht="14.25" thickBot="1" x14ac:dyDescent="0.2">
      <c r="B328" s="34"/>
      <c r="C328" s="18" t="s">
        <v>16</v>
      </c>
      <c r="D328" s="19" t="s">
        <v>372</v>
      </c>
      <c r="E328" s="20" t="s">
        <v>17</v>
      </c>
      <c r="F328" s="21" t="s">
        <v>113</v>
      </c>
      <c r="G328" s="22" t="s">
        <v>20</v>
      </c>
      <c r="H328" s="23" t="s">
        <v>37</v>
      </c>
    </row>
    <row r="329" spans="2:8" s="1" customFormat="1" x14ac:dyDescent="0.15">
      <c r="B329" s="13" t="s">
        <v>1</v>
      </c>
      <c r="C329" s="14" t="s">
        <v>0</v>
      </c>
      <c r="D329" s="29" t="s">
        <v>190</v>
      </c>
      <c r="E329" s="30"/>
      <c r="F329" s="31"/>
      <c r="G329" s="15" t="s">
        <v>57</v>
      </c>
      <c r="H329" s="16" t="s">
        <v>55</v>
      </c>
    </row>
    <row r="330" spans="2:8" s="1" customFormat="1" x14ac:dyDescent="0.15">
      <c r="B330" s="32">
        <v>300064</v>
      </c>
      <c r="C330" s="2" t="s">
        <v>2</v>
      </c>
      <c r="D330" s="9">
        <f>ROUND(C12*680,0)</f>
        <v>7140</v>
      </c>
      <c r="E330" s="3" t="s">
        <v>3</v>
      </c>
      <c r="F330" s="11">
        <f>ROUND(C12*880,0)</f>
        <v>9240</v>
      </c>
      <c r="G330" s="4" t="s">
        <v>8</v>
      </c>
      <c r="H330" s="17" t="s">
        <v>30</v>
      </c>
    </row>
    <row r="331" spans="2:8" s="1" customFormat="1" ht="13.5" customHeight="1" x14ac:dyDescent="0.15">
      <c r="B331" s="33"/>
      <c r="C331" s="5" t="s">
        <v>4</v>
      </c>
      <c r="D331" s="9">
        <f>ROUND(C12*880,0)</f>
        <v>9240</v>
      </c>
      <c r="E331" s="6" t="s">
        <v>5</v>
      </c>
      <c r="F331" s="11">
        <f>ROUND(C12*476,0)</f>
        <v>4998</v>
      </c>
      <c r="G331" s="35">
        <v>100</v>
      </c>
      <c r="H331" s="17"/>
    </row>
    <row r="332" spans="2:8" s="1" customFormat="1" ht="13.5" customHeight="1" x14ac:dyDescent="0.15">
      <c r="B332" s="33"/>
      <c r="C332" s="7" t="s">
        <v>6</v>
      </c>
      <c r="D332" s="10">
        <v>7</v>
      </c>
      <c r="E332" s="8" t="s">
        <v>7</v>
      </c>
      <c r="F332" s="12">
        <f>ROUND(C12*370,0)</f>
        <v>3885</v>
      </c>
      <c r="G332" s="36"/>
      <c r="H332" s="17"/>
    </row>
    <row r="333" spans="2:8" s="1" customFormat="1" ht="14.25" thickBot="1" x14ac:dyDescent="0.2">
      <c r="B333" s="34"/>
      <c r="C333" s="18" t="s">
        <v>16</v>
      </c>
      <c r="D333" s="19" t="s">
        <v>414</v>
      </c>
      <c r="E333" s="20" t="s">
        <v>17</v>
      </c>
      <c r="F333" s="21" t="s">
        <v>396</v>
      </c>
      <c r="G333" s="22" t="s">
        <v>20</v>
      </c>
      <c r="H333" s="23" t="s">
        <v>37</v>
      </c>
    </row>
    <row r="334" spans="2:8" s="1" customFormat="1" x14ac:dyDescent="0.15">
      <c r="B334" s="13" t="s">
        <v>1</v>
      </c>
      <c r="C334" s="14" t="s">
        <v>0</v>
      </c>
      <c r="D334" s="29" t="s">
        <v>191</v>
      </c>
      <c r="E334" s="30"/>
      <c r="F334" s="31"/>
      <c r="G334" s="15" t="s">
        <v>57</v>
      </c>
      <c r="H334" s="16" t="s">
        <v>53</v>
      </c>
    </row>
    <row r="335" spans="2:8" s="1" customFormat="1" x14ac:dyDescent="0.15">
      <c r="B335" s="32">
        <v>300065</v>
      </c>
      <c r="C335" s="2" t="s">
        <v>2</v>
      </c>
      <c r="D335" s="9">
        <f>ROUND(C12*680,0)</f>
        <v>7140</v>
      </c>
      <c r="E335" s="3" t="s">
        <v>3</v>
      </c>
      <c r="F335" s="11">
        <f>ROUND(C12*880,0)</f>
        <v>9240</v>
      </c>
      <c r="G335" s="4" t="s">
        <v>8</v>
      </c>
      <c r="H335" s="17" t="s">
        <v>394</v>
      </c>
    </row>
    <row r="336" spans="2:8" s="1" customFormat="1" ht="13.5" customHeight="1" x14ac:dyDescent="0.15">
      <c r="B336" s="33"/>
      <c r="C336" s="5" t="s">
        <v>4</v>
      </c>
      <c r="D336" s="9">
        <f>ROUND(C12*880,0)</f>
        <v>9240</v>
      </c>
      <c r="E336" s="6" t="s">
        <v>5</v>
      </c>
      <c r="F336" s="11">
        <f>ROUND(C12*476,0)</f>
        <v>4998</v>
      </c>
      <c r="G336" s="35">
        <v>30</v>
      </c>
      <c r="H336" s="17"/>
    </row>
    <row r="337" spans="2:8" s="1" customFormat="1" ht="13.5" customHeight="1" x14ac:dyDescent="0.15">
      <c r="B337" s="33"/>
      <c r="C337" s="7" t="s">
        <v>6</v>
      </c>
      <c r="D337" s="10">
        <v>7</v>
      </c>
      <c r="E337" s="8" t="s">
        <v>7</v>
      </c>
      <c r="F337" s="12">
        <f>ROUND(C12*530,0)</f>
        <v>5565</v>
      </c>
      <c r="G337" s="36"/>
      <c r="H337" s="17"/>
    </row>
    <row r="338" spans="2:8" s="1" customFormat="1" ht="14.25" thickBot="1" x14ac:dyDescent="0.2">
      <c r="B338" s="34"/>
      <c r="C338" s="18" t="s">
        <v>16</v>
      </c>
      <c r="D338" s="19" t="s">
        <v>40</v>
      </c>
      <c r="E338" s="20" t="s">
        <v>17</v>
      </c>
      <c r="F338" s="21" t="s">
        <v>48</v>
      </c>
      <c r="G338" s="22" t="s">
        <v>20</v>
      </c>
      <c r="H338" s="23" t="s">
        <v>37</v>
      </c>
    </row>
    <row r="339" spans="2:8" s="1" customFormat="1" x14ac:dyDescent="0.15">
      <c r="B339" s="13" t="s">
        <v>1</v>
      </c>
      <c r="C339" s="14" t="s">
        <v>0</v>
      </c>
      <c r="D339" s="29" t="s">
        <v>192</v>
      </c>
      <c r="E339" s="30"/>
      <c r="F339" s="31"/>
      <c r="G339" s="15" t="s">
        <v>57</v>
      </c>
      <c r="H339" s="16" t="s">
        <v>80</v>
      </c>
    </row>
    <row r="340" spans="2:8" s="1" customFormat="1" x14ac:dyDescent="0.15">
      <c r="B340" s="32">
        <v>300066</v>
      </c>
      <c r="C340" s="2" t="s">
        <v>2</v>
      </c>
      <c r="D340" s="9">
        <f>ROUND(C12*680,0)</f>
        <v>7140</v>
      </c>
      <c r="E340" s="3" t="s">
        <v>3</v>
      </c>
      <c r="F340" s="11">
        <f>ROUND(C12*1936,0)</f>
        <v>20328</v>
      </c>
      <c r="G340" s="4" t="s">
        <v>8</v>
      </c>
      <c r="H340" s="17" t="s">
        <v>81</v>
      </c>
    </row>
    <row r="341" spans="2:8" s="1" customFormat="1" ht="13.5" customHeight="1" x14ac:dyDescent="0.15">
      <c r="B341" s="33"/>
      <c r="C341" s="5" t="s">
        <v>4</v>
      </c>
      <c r="D341" s="9">
        <f>ROUND(C12*880,0)</f>
        <v>9240</v>
      </c>
      <c r="E341" s="6" t="s">
        <v>5</v>
      </c>
      <c r="F341" s="11">
        <f>ROUND(C12*980,0)</f>
        <v>10290</v>
      </c>
      <c r="G341" s="35">
        <v>100</v>
      </c>
      <c r="H341" s="17"/>
    </row>
    <row r="342" spans="2:8" s="1" customFormat="1" ht="13.5" customHeight="1" x14ac:dyDescent="0.15">
      <c r="B342" s="33"/>
      <c r="C342" s="7" t="s">
        <v>6</v>
      </c>
      <c r="D342" s="10">
        <v>4</v>
      </c>
      <c r="E342" s="8" t="s">
        <v>7</v>
      </c>
      <c r="F342" s="12">
        <f>ROUND(C12*370,0)</f>
        <v>3885</v>
      </c>
      <c r="G342" s="36"/>
      <c r="H342" s="17"/>
    </row>
    <row r="343" spans="2:8" s="1" customFormat="1" ht="14.25" thickBot="1" x14ac:dyDescent="0.2">
      <c r="B343" s="34"/>
      <c r="C343" s="18" t="s">
        <v>16</v>
      </c>
      <c r="D343" s="19" t="s">
        <v>415</v>
      </c>
      <c r="E343" s="20" t="s">
        <v>17</v>
      </c>
      <c r="F343" s="21" t="s">
        <v>56</v>
      </c>
      <c r="G343" s="22" t="s">
        <v>20</v>
      </c>
      <c r="H343" s="23" t="s">
        <v>37</v>
      </c>
    </row>
    <row r="344" spans="2:8" s="1" customFormat="1" x14ac:dyDescent="0.15">
      <c r="B344" s="13" t="s">
        <v>1</v>
      </c>
      <c r="C344" s="14" t="s">
        <v>0</v>
      </c>
      <c r="D344" s="29" t="s">
        <v>193</v>
      </c>
      <c r="E344" s="30"/>
      <c r="F344" s="31"/>
      <c r="G344" s="15" t="s">
        <v>57</v>
      </c>
      <c r="H344" s="16" t="s">
        <v>194</v>
      </c>
    </row>
    <row r="345" spans="2:8" s="1" customFormat="1" x14ac:dyDescent="0.15">
      <c r="B345" s="32">
        <v>300067</v>
      </c>
      <c r="C345" s="2" t="s">
        <v>2</v>
      </c>
      <c r="D345" s="9">
        <f>ROUND(C12*680,0)</f>
        <v>7140</v>
      </c>
      <c r="E345" s="3" t="s">
        <v>3</v>
      </c>
      <c r="F345" s="11">
        <f>ROUND(C12*880,0)</f>
        <v>9240</v>
      </c>
      <c r="G345" s="4" t="s">
        <v>8</v>
      </c>
      <c r="H345" s="17" t="s">
        <v>195</v>
      </c>
    </row>
    <row r="346" spans="2:8" s="1" customFormat="1" ht="13.5" customHeight="1" x14ac:dyDescent="0.15">
      <c r="B346" s="33"/>
      <c r="C346" s="5" t="s">
        <v>4</v>
      </c>
      <c r="D346" s="9">
        <f>ROUND(C12*880,0)</f>
        <v>9240</v>
      </c>
      <c r="E346" s="6" t="s">
        <v>5</v>
      </c>
      <c r="F346" s="11">
        <f>ROUND(C12*476,0)</f>
        <v>4998</v>
      </c>
      <c r="G346" s="35">
        <v>50</v>
      </c>
      <c r="H346" s="17"/>
    </row>
    <row r="347" spans="2:8" s="1" customFormat="1" ht="13.5" customHeight="1" x14ac:dyDescent="0.15">
      <c r="B347" s="33"/>
      <c r="C347" s="7" t="s">
        <v>6</v>
      </c>
      <c r="D347" s="10">
        <v>7</v>
      </c>
      <c r="E347" s="8" t="s">
        <v>7</v>
      </c>
      <c r="F347" s="12">
        <f>ROUND(C12*370,0)</f>
        <v>3885</v>
      </c>
      <c r="G347" s="36"/>
      <c r="H347" s="17"/>
    </row>
    <row r="348" spans="2:8" s="1" customFormat="1" ht="14.25" thickBot="1" x14ac:dyDescent="0.2">
      <c r="B348" s="34"/>
      <c r="C348" s="18" t="s">
        <v>16</v>
      </c>
      <c r="D348" s="19" t="s">
        <v>416</v>
      </c>
      <c r="E348" s="20" t="s">
        <v>17</v>
      </c>
      <c r="F348" s="21" t="s">
        <v>85</v>
      </c>
      <c r="G348" s="22" t="s">
        <v>20</v>
      </c>
      <c r="H348" s="23" t="s">
        <v>37</v>
      </c>
    </row>
    <row r="349" spans="2:8" s="1" customFormat="1" x14ac:dyDescent="0.15">
      <c r="B349" s="13" t="s">
        <v>1</v>
      </c>
      <c r="C349" s="14" t="s">
        <v>0</v>
      </c>
      <c r="D349" s="29" t="s">
        <v>196</v>
      </c>
      <c r="E349" s="30"/>
      <c r="F349" s="31"/>
      <c r="G349" s="15" t="s">
        <v>57</v>
      </c>
      <c r="H349" s="16" t="s">
        <v>116</v>
      </c>
    </row>
    <row r="350" spans="2:8" s="1" customFormat="1" x14ac:dyDescent="0.15">
      <c r="B350" s="32">
        <v>300068</v>
      </c>
      <c r="C350" s="2" t="s">
        <v>2</v>
      </c>
      <c r="D350" s="9">
        <f>ROUND(C12*680,0)</f>
        <v>7140</v>
      </c>
      <c r="E350" s="3" t="s">
        <v>3</v>
      </c>
      <c r="F350" s="11">
        <f>ROUND(C12*880,0)</f>
        <v>9240</v>
      </c>
      <c r="G350" s="4" t="s">
        <v>8</v>
      </c>
      <c r="H350" s="17" t="s">
        <v>117</v>
      </c>
    </row>
    <row r="351" spans="2:8" s="1" customFormat="1" ht="13.5" customHeight="1" x14ac:dyDescent="0.15">
      <c r="B351" s="33"/>
      <c r="C351" s="5" t="s">
        <v>4</v>
      </c>
      <c r="D351" s="9">
        <f>ROUND(C12*880,0)</f>
        <v>9240</v>
      </c>
      <c r="E351" s="6" t="s">
        <v>5</v>
      </c>
      <c r="F351" s="11">
        <f>ROUND(C12*476,0)</f>
        <v>4998</v>
      </c>
      <c r="G351" s="35">
        <v>100</v>
      </c>
      <c r="H351" s="17"/>
    </row>
    <row r="352" spans="2:8" s="1" customFormat="1" ht="13.5" customHeight="1" x14ac:dyDescent="0.15">
      <c r="B352" s="33"/>
      <c r="C352" s="7" t="s">
        <v>6</v>
      </c>
      <c r="D352" s="10">
        <v>7</v>
      </c>
      <c r="E352" s="8" t="s">
        <v>7</v>
      </c>
      <c r="F352" s="12">
        <f>ROUND(C12*530,0)</f>
        <v>5565</v>
      </c>
      <c r="G352" s="36"/>
      <c r="H352" s="17"/>
    </row>
    <row r="353" spans="2:8" s="1" customFormat="1" ht="14.25" thickBot="1" x14ac:dyDescent="0.2">
      <c r="B353" s="34"/>
      <c r="C353" s="18" t="s">
        <v>16</v>
      </c>
      <c r="D353" s="19" t="s">
        <v>382</v>
      </c>
      <c r="E353" s="20" t="s">
        <v>17</v>
      </c>
      <c r="F353" s="21" t="s">
        <v>85</v>
      </c>
      <c r="G353" s="22" t="s">
        <v>20</v>
      </c>
      <c r="H353" s="23" t="s">
        <v>37</v>
      </c>
    </row>
    <row r="354" spans="2:8" s="1" customFormat="1" x14ac:dyDescent="0.15">
      <c r="B354" s="13" t="s">
        <v>1</v>
      </c>
      <c r="C354" s="14" t="s">
        <v>0</v>
      </c>
      <c r="D354" s="29" t="s">
        <v>197</v>
      </c>
      <c r="E354" s="30"/>
      <c r="F354" s="31"/>
      <c r="G354" s="15" t="s">
        <v>57</v>
      </c>
      <c r="H354" s="16" t="s">
        <v>88</v>
      </c>
    </row>
    <row r="355" spans="2:8" s="1" customFormat="1" x14ac:dyDescent="0.15">
      <c r="B355" s="32">
        <v>300069</v>
      </c>
      <c r="C355" s="2" t="s">
        <v>2</v>
      </c>
      <c r="D355" s="9">
        <f>ROUND(C12*680,0)</f>
        <v>7140</v>
      </c>
      <c r="E355" s="3" t="s">
        <v>3</v>
      </c>
      <c r="F355" s="11">
        <f>ROUND(C12*880,0)</f>
        <v>9240</v>
      </c>
      <c r="G355" s="4" t="s">
        <v>8</v>
      </c>
      <c r="H355" s="17" t="s">
        <v>89</v>
      </c>
    </row>
    <row r="356" spans="2:8" s="1" customFormat="1" ht="13.5" customHeight="1" x14ac:dyDescent="0.15">
      <c r="B356" s="33"/>
      <c r="C356" s="5" t="s">
        <v>4</v>
      </c>
      <c r="D356" s="9">
        <f>ROUND(C12*880,0)</f>
        <v>9240</v>
      </c>
      <c r="E356" s="6" t="s">
        <v>5</v>
      </c>
      <c r="F356" s="11">
        <f>ROUND(C12*476,0)</f>
        <v>4998</v>
      </c>
      <c r="G356" s="35">
        <v>50</v>
      </c>
      <c r="H356" s="17"/>
    </row>
    <row r="357" spans="2:8" s="1" customFormat="1" ht="13.5" customHeight="1" x14ac:dyDescent="0.15">
      <c r="B357" s="33"/>
      <c r="C357" s="7" t="s">
        <v>6</v>
      </c>
      <c r="D357" s="10">
        <v>7</v>
      </c>
      <c r="E357" s="8" t="s">
        <v>7</v>
      </c>
      <c r="F357" s="12">
        <f>ROUND(C12*530,0)</f>
        <v>5565</v>
      </c>
      <c r="G357" s="36"/>
      <c r="H357" s="17"/>
    </row>
    <row r="358" spans="2:8" s="1" customFormat="1" ht="14.25" thickBot="1" x14ac:dyDescent="0.2">
      <c r="B358" s="34"/>
      <c r="C358" s="18" t="s">
        <v>16</v>
      </c>
      <c r="D358" s="19" t="s">
        <v>372</v>
      </c>
      <c r="E358" s="20" t="s">
        <v>17</v>
      </c>
      <c r="F358" s="21" t="s">
        <v>113</v>
      </c>
      <c r="G358" s="22" t="s">
        <v>20</v>
      </c>
      <c r="H358" s="23" t="s">
        <v>72</v>
      </c>
    </row>
    <row r="359" spans="2:8" s="1" customFormat="1" x14ac:dyDescent="0.15">
      <c r="B359" s="13" t="s">
        <v>1</v>
      </c>
      <c r="C359" s="14" t="s">
        <v>0</v>
      </c>
      <c r="D359" s="29" t="s">
        <v>198</v>
      </c>
      <c r="E359" s="30"/>
      <c r="F359" s="31"/>
      <c r="G359" s="15" t="s">
        <v>57</v>
      </c>
      <c r="H359" s="16" t="s">
        <v>128</v>
      </c>
    </row>
    <row r="360" spans="2:8" s="1" customFormat="1" x14ac:dyDescent="0.15">
      <c r="B360" s="32">
        <v>300070</v>
      </c>
      <c r="C360" s="2" t="s">
        <v>2</v>
      </c>
      <c r="D360" s="9">
        <f>ROUND(C12*680,0)</f>
        <v>7140</v>
      </c>
      <c r="E360" s="3" t="s">
        <v>3</v>
      </c>
      <c r="F360" s="11">
        <f>ROUND(C12*1936,0)</f>
        <v>20328</v>
      </c>
      <c r="G360" s="4" t="s">
        <v>8</v>
      </c>
      <c r="H360" s="17" t="s">
        <v>129</v>
      </c>
    </row>
    <row r="361" spans="2:8" s="1" customFormat="1" ht="13.5" customHeight="1" x14ac:dyDescent="0.15">
      <c r="B361" s="33"/>
      <c r="C361" s="5" t="s">
        <v>4</v>
      </c>
      <c r="D361" s="9">
        <f>ROUND(C12*880,0)</f>
        <v>9240</v>
      </c>
      <c r="E361" s="6" t="s">
        <v>5</v>
      </c>
      <c r="F361" s="11">
        <f>ROUND(C12*980,0)</f>
        <v>10290</v>
      </c>
      <c r="G361" s="35">
        <v>100</v>
      </c>
      <c r="H361" s="17"/>
    </row>
    <row r="362" spans="2:8" s="1" customFormat="1" ht="13.5" customHeight="1" x14ac:dyDescent="0.15">
      <c r="B362" s="33"/>
      <c r="C362" s="7" t="s">
        <v>6</v>
      </c>
      <c r="D362" s="10">
        <v>4</v>
      </c>
      <c r="E362" s="8" t="s">
        <v>7</v>
      </c>
      <c r="F362" s="12">
        <f>ROUND(C12*480,0)</f>
        <v>5040</v>
      </c>
      <c r="G362" s="36"/>
      <c r="H362" s="17"/>
    </row>
    <row r="363" spans="2:8" s="1" customFormat="1" ht="14.25" thickBot="1" x14ac:dyDescent="0.2">
      <c r="B363" s="34"/>
      <c r="C363" s="18" t="s">
        <v>16</v>
      </c>
      <c r="D363" s="19" t="s">
        <v>417</v>
      </c>
      <c r="E363" s="20" t="s">
        <v>17</v>
      </c>
      <c r="F363" s="21" t="s">
        <v>396</v>
      </c>
      <c r="G363" s="22" t="s">
        <v>20</v>
      </c>
      <c r="H363" s="23" t="s">
        <v>37</v>
      </c>
    </row>
    <row r="364" spans="2:8" s="1" customFormat="1" x14ac:dyDescent="0.15">
      <c r="B364" s="13" t="s">
        <v>1</v>
      </c>
      <c r="C364" s="14" t="s">
        <v>0</v>
      </c>
      <c r="D364" s="29" t="s">
        <v>199</v>
      </c>
      <c r="E364" s="30"/>
      <c r="F364" s="31"/>
      <c r="G364" s="15" t="s">
        <v>57</v>
      </c>
      <c r="H364" s="16" t="s">
        <v>95</v>
      </c>
    </row>
    <row r="365" spans="2:8" s="1" customFormat="1" x14ac:dyDescent="0.15">
      <c r="B365" s="32">
        <v>300071</v>
      </c>
      <c r="C365" s="2" t="s">
        <v>2</v>
      </c>
      <c r="D365" s="9">
        <f>ROUND(C12*680,0)</f>
        <v>7140</v>
      </c>
      <c r="E365" s="3" t="s">
        <v>3</v>
      </c>
      <c r="F365" s="11">
        <f>ROUND(C12*880,0)</f>
        <v>9240</v>
      </c>
      <c r="G365" s="4" t="s">
        <v>8</v>
      </c>
      <c r="H365" s="17" t="s">
        <v>96</v>
      </c>
    </row>
    <row r="366" spans="2:8" s="1" customFormat="1" ht="13.5" customHeight="1" x14ac:dyDescent="0.15">
      <c r="B366" s="33"/>
      <c r="C366" s="5" t="s">
        <v>4</v>
      </c>
      <c r="D366" s="9">
        <f>ROUND(C12*880,0)</f>
        <v>9240</v>
      </c>
      <c r="E366" s="6" t="s">
        <v>5</v>
      </c>
      <c r="F366" s="11">
        <f>ROUND(C12*476,0)</f>
        <v>4998</v>
      </c>
      <c r="G366" s="35">
        <v>50</v>
      </c>
      <c r="H366" s="17"/>
    </row>
    <row r="367" spans="2:8" s="1" customFormat="1" ht="13.5" customHeight="1" x14ac:dyDescent="0.15">
      <c r="B367" s="33"/>
      <c r="C367" s="7" t="s">
        <v>6</v>
      </c>
      <c r="D367" s="10">
        <v>7</v>
      </c>
      <c r="E367" s="8" t="s">
        <v>7</v>
      </c>
      <c r="F367" s="12">
        <f>ROUND(C12*530,0)</f>
        <v>5565</v>
      </c>
      <c r="G367" s="36"/>
      <c r="H367" s="17"/>
    </row>
    <row r="368" spans="2:8" s="1" customFormat="1" ht="14.25" thickBot="1" x14ac:dyDescent="0.2">
      <c r="B368" s="34"/>
      <c r="C368" s="18" t="s">
        <v>16</v>
      </c>
      <c r="D368" s="19" t="s">
        <v>417</v>
      </c>
      <c r="E368" s="20" t="s">
        <v>17</v>
      </c>
      <c r="F368" s="21" t="s">
        <v>418</v>
      </c>
      <c r="G368" s="22" t="s">
        <v>20</v>
      </c>
      <c r="H368" s="23" t="s">
        <v>153</v>
      </c>
    </row>
    <row r="369" spans="2:8" s="1" customFormat="1" x14ac:dyDescent="0.15">
      <c r="B369" s="13" t="s">
        <v>1</v>
      </c>
      <c r="C369" s="14" t="s">
        <v>0</v>
      </c>
      <c r="D369" s="29" t="s">
        <v>200</v>
      </c>
      <c r="E369" s="30"/>
      <c r="F369" s="31"/>
      <c r="G369" s="15" t="s">
        <v>57</v>
      </c>
      <c r="H369" s="16" t="s">
        <v>35</v>
      </c>
    </row>
    <row r="370" spans="2:8" s="1" customFormat="1" x14ac:dyDescent="0.15">
      <c r="B370" s="32">
        <v>300072</v>
      </c>
      <c r="C370" s="2" t="s">
        <v>2</v>
      </c>
      <c r="D370" s="9">
        <f>ROUND(C12*680,0)</f>
        <v>7140</v>
      </c>
      <c r="E370" s="3" t="s">
        <v>3</v>
      </c>
      <c r="F370" s="11">
        <f>ROUND(C12*880,0)</f>
        <v>9240</v>
      </c>
      <c r="G370" s="4" t="s">
        <v>8</v>
      </c>
      <c r="H370" s="17" t="s">
        <v>23</v>
      </c>
    </row>
    <row r="371" spans="2:8" s="1" customFormat="1" ht="13.5" customHeight="1" x14ac:dyDescent="0.15">
      <c r="B371" s="33"/>
      <c r="C371" s="5" t="s">
        <v>4</v>
      </c>
      <c r="D371" s="9">
        <f>ROUND(C12*880,0)</f>
        <v>9240</v>
      </c>
      <c r="E371" s="6" t="s">
        <v>5</v>
      </c>
      <c r="F371" s="11">
        <f>ROUND(C12*476,0)</f>
        <v>4998</v>
      </c>
      <c r="G371" s="35">
        <v>100</v>
      </c>
      <c r="H371" s="17"/>
    </row>
    <row r="372" spans="2:8" s="1" customFormat="1" ht="13.5" customHeight="1" x14ac:dyDescent="0.15">
      <c r="B372" s="33"/>
      <c r="C372" s="7" t="s">
        <v>6</v>
      </c>
      <c r="D372" s="10">
        <v>7</v>
      </c>
      <c r="E372" s="8" t="s">
        <v>7</v>
      </c>
      <c r="F372" s="12">
        <f>ROUND(C12*370,0)</f>
        <v>3885</v>
      </c>
      <c r="G372" s="36"/>
      <c r="H372" s="17"/>
    </row>
    <row r="373" spans="2:8" s="1" customFormat="1" ht="14.25" thickBot="1" x14ac:dyDescent="0.2">
      <c r="B373" s="34"/>
      <c r="C373" s="18" t="s">
        <v>16</v>
      </c>
      <c r="D373" s="19" t="s">
        <v>389</v>
      </c>
      <c r="E373" s="20" t="s">
        <v>17</v>
      </c>
      <c r="F373" s="21" t="s">
        <v>418</v>
      </c>
      <c r="G373" s="22" t="s">
        <v>20</v>
      </c>
      <c r="H373" s="23" t="s">
        <v>37</v>
      </c>
    </row>
    <row r="374" spans="2:8" s="1" customFormat="1" x14ac:dyDescent="0.15">
      <c r="B374" s="13" t="s">
        <v>1</v>
      </c>
      <c r="C374" s="14" t="s">
        <v>0</v>
      </c>
      <c r="D374" s="29" t="s">
        <v>201</v>
      </c>
      <c r="E374" s="30"/>
      <c r="F374" s="31"/>
      <c r="G374" s="15" t="s">
        <v>57</v>
      </c>
      <c r="H374" s="16" t="s">
        <v>41</v>
      </c>
    </row>
    <row r="375" spans="2:8" s="1" customFormat="1" x14ac:dyDescent="0.15">
      <c r="B375" s="32">
        <v>300073</v>
      </c>
      <c r="C375" s="2" t="s">
        <v>2</v>
      </c>
      <c r="D375" s="9">
        <f>ROUND(C12*680,0)</f>
        <v>7140</v>
      </c>
      <c r="E375" s="3" t="s">
        <v>3</v>
      </c>
      <c r="F375" s="11">
        <f>ROUND(C12*1936,0)</f>
        <v>20328</v>
      </c>
      <c r="G375" s="4" t="s">
        <v>8</v>
      </c>
      <c r="H375" s="17" t="s">
        <v>25</v>
      </c>
    </row>
    <row r="376" spans="2:8" s="1" customFormat="1" ht="13.5" customHeight="1" x14ac:dyDescent="0.15">
      <c r="B376" s="33"/>
      <c r="C376" s="5" t="s">
        <v>4</v>
      </c>
      <c r="D376" s="9">
        <f>ROUND(C12*880,0)</f>
        <v>9240</v>
      </c>
      <c r="E376" s="6" t="s">
        <v>5</v>
      </c>
      <c r="F376" s="11">
        <f>ROUND(C12*980,0)</f>
        <v>10290</v>
      </c>
      <c r="G376" s="35">
        <v>100</v>
      </c>
      <c r="H376" s="17"/>
    </row>
    <row r="377" spans="2:8" s="1" customFormat="1" ht="13.5" customHeight="1" x14ac:dyDescent="0.15">
      <c r="B377" s="33"/>
      <c r="C377" s="7" t="s">
        <v>6</v>
      </c>
      <c r="D377" s="10">
        <v>4</v>
      </c>
      <c r="E377" s="8" t="s">
        <v>7</v>
      </c>
      <c r="F377" s="12">
        <f>ROUND(C12*370,0)</f>
        <v>3885</v>
      </c>
      <c r="G377" s="36"/>
      <c r="H377" s="17"/>
    </row>
    <row r="378" spans="2:8" s="1" customFormat="1" ht="14.25" thickBot="1" x14ac:dyDescent="0.2">
      <c r="B378" s="34"/>
      <c r="C378" s="18" t="s">
        <v>16</v>
      </c>
      <c r="D378" s="19" t="s">
        <v>39</v>
      </c>
      <c r="E378" s="20" t="s">
        <v>17</v>
      </c>
      <c r="F378" s="21" t="s">
        <v>49</v>
      </c>
      <c r="G378" s="22" t="s">
        <v>20</v>
      </c>
      <c r="H378" s="23" t="s">
        <v>37</v>
      </c>
    </row>
    <row r="379" spans="2:8" s="1" customFormat="1" x14ac:dyDescent="0.15">
      <c r="B379" s="13" t="s">
        <v>1</v>
      </c>
      <c r="C379" s="14" t="s">
        <v>0</v>
      </c>
      <c r="D379" s="29" t="s">
        <v>202</v>
      </c>
      <c r="E379" s="30"/>
      <c r="F379" s="31"/>
      <c r="G379" s="15" t="s">
        <v>57</v>
      </c>
      <c r="H379" s="16" t="s">
        <v>131</v>
      </c>
    </row>
    <row r="380" spans="2:8" s="1" customFormat="1" x14ac:dyDescent="0.15">
      <c r="B380" s="32">
        <v>300074</v>
      </c>
      <c r="C380" s="2" t="s">
        <v>2</v>
      </c>
      <c r="D380" s="9">
        <f>ROUND(C12*680,0)</f>
        <v>7140</v>
      </c>
      <c r="E380" s="3" t="s">
        <v>3</v>
      </c>
      <c r="F380" s="11">
        <f>ROUND(C12*880,0)</f>
        <v>9240</v>
      </c>
      <c r="G380" s="4" t="s">
        <v>8</v>
      </c>
      <c r="H380" s="17" t="s">
        <v>132</v>
      </c>
    </row>
    <row r="381" spans="2:8" s="1" customFormat="1" ht="13.5" customHeight="1" x14ac:dyDescent="0.15">
      <c r="B381" s="33"/>
      <c r="C381" s="5" t="s">
        <v>4</v>
      </c>
      <c r="D381" s="9">
        <f>ROUND(C12*880,0)</f>
        <v>9240</v>
      </c>
      <c r="E381" s="6" t="s">
        <v>5</v>
      </c>
      <c r="F381" s="11">
        <f>ROUND(C12*476,0)</f>
        <v>4998</v>
      </c>
      <c r="G381" s="35">
        <v>100</v>
      </c>
      <c r="H381" s="17"/>
    </row>
    <row r="382" spans="2:8" s="1" customFormat="1" ht="13.5" customHeight="1" x14ac:dyDescent="0.15">
      <c r="B382" s="33"/>
      <c r="C382" s="7" t="s">
        <v>6</v>
      </c>
      <c r="D382" s="10">
        <v>7</v>
      </c>
      <c r="E382" s="8" t="s">
        <v>7</v>
      </c>
      <c r="F382" s="12">
        <f>ROUND(C12*530,0)</f>
        <v>5565</v>
      </c>
      <c r="G382" s="36"/>
      <c r="H382" s="17"/>
    </row>
    <row r="383" spans="2:8" s="1" customFormat="1" ht="14.25" thickBot="1" x14ac:dyDescent="0.2">
      <c r="B383" s="34"/>
      <c r="C383" s="18" t="s">
        <v>16</v>
      </c>
      <c r="D383" s="19" t="s">
        <v>40</v>
      </c>
      <c r="E383" s="20" t="s">
        <v>17</v>
      </c>
      <c r="F383" s="21" t="s">
        <v>48</v>
      </c>
      <c r="G383" s="22" t="s">
        <v>20</v>
      </c>
      <c r="H383" s="23" t="s">
        <v>37</v>
      </c>
    </row>
    <row r="384" spans="2:8" s="1" customFormat="1" x14ac:dyDescent="0.15">
      <c r="B384" s="13" t="s">
        <v>1</v>
      </c>
      <c r="C384" s="14" t="s">
        <v>0</v>
      </c>
      <c r="D384" s="29" t="s">
        <v>203</v>
      </c>
      <c r="E384" s="30"/>
      <c r="F384" s="31"/>
      <c r="G384" s="15" t="s">
        <v>57</v>
      </c>
      <c r="H384" s="16" t="s">
        <v>204</v>
      </c>
    </row>
    <row r="385" spans="2:8" s="1" customFormat="1" x14ac:dyDescent="0.15">
      <c r="B385" s="32">
        <v>300075</v>
      </c>
      <c r="C385" s="2" t="s">
        <v>2</v>
      </c>
      <c r="D385" s="9">
        <f>ROUND(C12*680,0)</f>
        <v>7140</v>
      </c>
      <c r="E385" s="3" t="s">
        <v>3</v>
      </c>
      <c r="F385" s="11">
        <f>ROUND(C12*880,0)</f>
        <v>9240</v>
      </c>
      <c r="G385" s="4" t="s">
        <v>8</v>
      </c>
      <c r="H385" s="17" t="s">
        <v>205</v>
      </c>
    </row>
    <row r="386" spans="2:8" s="1" customFormat="1" ht="13.5" customHeight="1" x14ac:dyDescent="0.15">
      <c r="B386" s="33"/>
      <c r="C386" s="5" t="s">
        <v>4</v>
      </c>
      <c r="D386" s="9">
        <f>ROUND(C12*880,0)</f>
        <v>9240</v>
      </c>
      <c r="E386" s="6" t="s">
        <v>5</v>
      </c>
      <c r="F386" s="11">
        <f>ROUND(C12*476,0)</f>
        <v>4998</v>
      </c>
      <c r="G386" s="35">
        <v>100</v>
      </c>
      <c r="H386" s="17"/>
    </row>
    <row r="387" spans="2:8" s="1" customFormat="1" ht="13.5" customHeight="1" x14ac:dyDescent="0.15">
      <c r="B387" s="33"/>
      <c r="C387" s="7" t="s">
        <v>6</v>
      </c>
      <c r="D387" s="10">
        <v>7</v>
      </c>
      <c r="E387" s="8" t="s">
        <v>7</v>
      </c>
      <c r="F387" s="12">
        <f>ROUND(C12*530,0)</f>
        <v>5565</v>
      </c>
      <c r="G387" s="36"/>
      <c r="H387" s="17"/>
    </row>
    <row r="388" spans="2:8" s="1" customFormat="1" ht="14.25" thickBot="1" x14ac:dyDescent="0.2">
      <c r="B388" s="34"/>
      <c r="C388" s="18" t="s">
        <v>16</v>
      </c>
      <c r="D388" s="19" t="s">
        <v>390</v>
      </c>
      <c r="E388" s="20" t="s">
        <v>17</v>
      </c>
      <c r="F388" s="21" t="s">
        <v>32</v>
      </c>
      <c r="G388" s="22" t="s">
        <v>20</v>
      </c>
      <c r="H388" s="23" t="s">
        <v>37</v>
      </c>
    </row>
    <row r="389" spans="2:8" s="1" customFormat="1" x14ac:dyDescent="0.15">
      <c r="B389" s="13" t="s">
        <v>1</v>
      </c>
      <c r="C389" s="14" t="s">
        <v>0</v>
      </c>
      <c r="D389" s="29" t="s">
        <v>206</v>
      </c>
      <c r="E389" s="30"/>
      <c r="F389" s="31"/>
      <c r="G389" s="15" t="s">
        <v>57</v>
      </c>
      <c r="H389" s="16" t="s">
        <v>146</v>
      </c>
    </row>
    <row r="390" spans="2:8" s="1" customFormat="1" x14ac:dyDescent="0.15">
      <c r="B390" s="32">
        <v>300076</v>
      </c>
      <c r="C390" s="2" t="s">
        <v>2</v>
      </c>
      <c r="D390" s="9">
        <f>ROUND(C12*680,0)</f>
        <v>7140</v>
      </c>
      <c r="E390" s="3" t="s">
        <v>3</v>
      </c>
      <c r="F390" s="11">
        <f>ROUND(C12*1936,0)</f>
        <v>20328</v>
      </c>
      <c r="G390" s="4" t="s">
        <v>8</v>
      </c>
      <c r="H390" s="17" t="s">
        <v>147</v>
      </c>
    </row>
    <row r="391" spans="2:8" s="1" customFormat="1" ht="13.5" customHeight="1" x14ac:dyDescent="0.15">
      <c r="B391" s="33"/>
      <c r="C391" s="5" t="s">
        <v>4</v>
      </c>
      <c r="D391" s="9">
        <f>ROUND(C12*880,0)</f>
        <v>9240</v>
      </c>
      <c r="E391" s="6" t="s">
        <v>5</v>
      </c>
      <c r="F391" s="11">
        <f>ROUND(C12*980,0)</f>
        <v>10290</v>
      </c>
      <c r="G391" s="35">
        <v>100</v>
      </c>
      <c r="H391" s="17"/>
    </row>
    <row r="392" spans="2:8" s="1" customFormat="1" ht="13.5" customHeight="1" x14ac:dyDescent="0.15">
      <c r="B392" s="33"/>
      <c r="C392" s="7" t="s">
        <v>6</v>
      </c>
      <c r="D392" s="10">
        <v>4</v>
      </c>
      <c r="E392" s="8" t="s">
        <v>7</v>
      </c>
      <c r="F392" s="12">
        <f>ROUND(C12*530,0)</f>
        <v>5565</v>
      </c>
      <c r="G392" s="36"/>
      <c r="H392" s="17"/>
    </row>
    <row r="393" spans="2:8" s="1" customFormat="1" ht="14.25" thickBot="1" x14ac:dyDescent="0.2">
      <c r="B393" s="34"/>
      <c r="C393" s="18" t="s">
        <v>16</v>
      </c>
      <c r="D393" s="19" t="s">
        <v>42</v>
      </c>
      <c r="E393" s="20" t="s">
        <v>17</v>
      </c>
      <c r="F393" s="21" t="s">
        <v>113</v>
      </c>
      <c r="G393" s="22" t="s">
        <v>20</v>
      </c>
      <c r="H393" s="23" t="s">
        <v>37</v>
      </c>
    </row>
    <row r="394" spans="2:8" s="1" customFormat="1" x14ac:dyDescent="0.15">
      <c r="B394" s="13" t="s">
        <v>1</v>
      </c>
      <c r="C394" s="14" t="s">
        <v>0</v>
      </c>
      <c r="D394" s="29" t="s">
        <v>207</v>
      </c>
      <c r="E394" s="30"/>
      <c r="F394" s="31"/>
      <c r="G394" s="15" t="s">
        <v>57</v>
      </c>
      <c r="H394" s="16" t="s">
        <v>208</v>
      </c>
    </row>
    <row r="395" spans="2:8" s="1" customFormat="1" x14ac:dyDescent="0.15">
      <c r="B395" s="32">
        <v>300077</v>
      </c>
      <c r="C395" s="2" t="s">
        <v>2</v>
      </c>
      <c r="D395" s="9">
        <f>ROUND(C12*680,0)</f>
        <v>7140</v>
      </c>
      <c r="E395" s="3" t="s">
        <v>3</v>
      </c>
      <c r="F395" s="11">
        <f>ROUND(C12*880,0)</f>
        <v>9240</v>
      </c>
      <c r="G395" s="4" t="s">
        <v>8</v>
      </c>
      <c r="H395" s="17" t="s">
        <v>209</v>
      </c>
    </row>
    <row r="396" spans="2:8" s="1" customFormat="1" ht="13.5" customHeight="1" x14ac:dyDescent="0.15">
      <c r="B396" s="33"/>
      <c r="C396" s="5" t="s">
        <v>4</v>
      </c>
      <c r="D396" s="9">
        <f>ROUND(C12*880,0)</f>
        <v>9240</v>
      </c>
      <c r="E396" s="6" t="s">
        <v>5</v>
      </c>
      <c r="F396" s="11">
        <f>ROUND(C12*476,0)</f>
        <v>4998</v>
      </c>
      <c r="G396" s="35">
        <v>100</v>
      </c>
      <c r="H396" s="17"/>
    </row>
    <row r="397" spans="2:8" s="1" customFormat="1" ht="13.5" customHeight="1" x14ac:dyDescent="0.15">
      <c r="B397" s="33"/>
      <c r="C397" s="7" t="s">
        <v>6</v>
      </c>
      <c r="D397" s="10">
        <v>7</v>
      </c>
      <c r="E397" s="8" t="s">
        <v>7</v>
      </c>
      <c r="F397" s="12">
        <f>ROUND(C12*530,0)</f>
        <v>5565</v>
      </c>
      <c r="G397" s="36"/>
      <c r="H397" s="17"/>
    </row>
    <row r="398" spans="2:8" s="1" customFormat="1" ht="14.25" thickBot="1" x14ac:dyDescent="0.2">
      <c r="B398" s="34"/>
      <c r="C398" s="18" t="s">
        <v>16</v>
      </c>
      <c r="D398" s="19" t="s">
        <v>402</v>
      </c>
      <c r="E398" s="20" t="s">
        <v>17</v>
      </c>
      <c r="F398" s="21" t="s">
        <v>85</v>
      </c>
      <c r="G398" s="22" t="s">
        <v>20</v>
      </c>
      <c r="H398" s="23" t="s">
        <v>37</v>
      </c>
    </row>
    <row r="399" spans="2:8" s="1" customFormat="1" x14ac:dyDescent="0.15">
      <c r="B399" s="13" t="s">
        <v>1</v>
      </c>
      <c r="C399" s="14" t="s">
        <v>0</v>
      </c>
      <c r="D399" s="29" t="s">
        <v>210</v>
      </c>
      <c r="E399" s="30"/>
      <c r="F399" s="31"/>
      <c r="G399" s="15" t="s">
        <v>57</v>
      </c>
      <c r="H399" s="16" t="s">
        <v>50</v>
      </c>
    </row>
    <row r="400" spans="2:8" s="1" customFormat="1" x14ac:dyDescent="0.15">
      <c r="B400" s="32">
        <v>300078</v>
      </c>
      <c r="C400" s="2" t="s">
        <v>2</v>
      </c>
      <c r="D400" s="9">
        <f>ROUND(C12*680,0)</f>
        <v>7140</v>
      </c>
      <c r="E400" s="3" t="s">
        <v>3</v>
      </c>
      <c r="F400" s="11">
        <f>ROUND(C12*880,0)</f>
        <v>9240</v>
      </c>
      <c r="G400" s="4" t="s">
        <v>8</v>
      </c>
      <c r="H400" s="17" t="s">
        <v>29</v>
      </c>
    </row>
    <row r="401" spans="2:8" s="1" customFormat="1" ht="13.5" customHeight="1" x14ac:dyDescent="0.15">
      <c r="B401" s="33"/>
      <c r="C401" s="5" t="s">
        <v>4</v>
      </c>
      <c r="D401" s="9">
        <f>ROUND(C12*880,0)</f>
        <v>9240</v>
      </c>
      <c r="E401" s="6" t="s">
        <v>5</v>
      </c>
      <c r="F401" s="11">
        <f>ROUND(C12*476,0)</f>
        <v>4998</v>
      </c>
      <c r="G401" s="35">
        <v>100</v>
      </c>
      <c r="H401" s="17"/>
    </row>
    <row r="402" spans="2:8" s="1" customFormat="1" ht="13.5" customHeight="1" x14ac:dyDescent="0.15">
      <c r="B402" s="33"/>
      <c r="C402" s="7" t="s">
        <v>6</v>
      </c>
      <c r="D402" s="10">
        <v>7</v>
      </c>
      <c r="E402" s="8" t="s">
        <v>7</v>
      </c>
      <c r="F402" s="12">
        <f>ROUND(C12*370,0)</f>
        <v>3885</v>
      </c>
      <c r="G402" s="36"/>
      <c r="H402" s="17"/>
    </row>
    <row r="403" spans="2:8" s="1" customFormat="1" ht="14.25" thickBot="1" x14ac:dyDescent="0.2">
      <c r="B403" s="34"/>
      <c r="C403" s="18" t="s">
        <v>16</v>
      </c>
      <c r="D403" s="19" t="s">
        <v>419</v>
      </c>
      <c r="E403" s="20" t="s">
        <v>17</v>
      </c>
      <c r="F403" s="21" t="s">
        <v>48</v>
      </c>
      <c r="G403" s="22" t="s">
        <v>20</v>
      </c>
      <c r="H403" s="23" t="s">
        <v>37</v>
      </c>
    </row>
    <row r="404" spans="2:8" s="1" customFormat="1" x14ac:dyDescent="0.15">
      <c r="B404" s="13" t="s">
        <v>1</v>
      </c>
      <c r="C404" s="14" t="s">
        <v>0</v>
      </c>
      <c r="D404" s="29" t="s">
        <v>212</v>
      </c>
      <c r="E404" s="30"/>
      <c r="F404" s="31"/>
      <c r="G404" s="15" t="s">
        <v>57</v>
      </c>
      <c r="H404" s="16" t="s">
        <v>213</v>
      </c>
    </row>
    <row r="405" spans="2:8" s="1" customFormat="1" x14ac:dyDescent="0.15">
      <c r="B405" s="32">
        <v>300079</v>
      </c>
      <c r="C405" s="2" t="s">
        <v>2</v>
      </c>
      <c r="D405" s="9">
        <f>ROUND(C12*680,0)</f>
        <v>7140</v>
      </c>
      <c r="E405" s="3" t="s">
        <v>3</v>
      </c>
      <c r="F405" s="11">
        <f>ROUND(C12*880,0)</f>
        <v>9240</v>
      </c>
      <c r="G405" s="4" t="s">
        <v>8</v>
      </c>
      <c r="H405" s="17" t="s">
        <v>214</v>
      </c>
    </row>
    <row r="406" spans="2:8" s="1" customFormat="1" ht="13.5" customHeight="1" x14ac:dyDescent="0.15">
      <c r="B406" s="33"/>
      <c r="C406" s="5" t="s">
        <v>4</v>
      </c>
      <c r="D406" s="9">
        <f>ROUND(C12*880,0)</f>
        <v>9240</v>
      </c>
      <c r="E406" s="6" t="s">
        <v>5</v>
      </c>
      <c r="F406" s="11">
        <f>ROUND(C12*476,0)</f>
        <v>4998</v>
      </c>
      <c r="G406" s="35">
        <v>100</v>
      </c>
      <c r="H406" s="17"/>
    </row>
    <row r="407" spans="2:8" s="1" customFormat="1" ht="13.5" customHeight="1" x14ac:dyDescent="0.15">
      <c r="B407" s="33"/>
      <c r="C407" s="7" t="s">
        <v>6</v>
      </c>
      <c r="D407" s="10">
        <v>7</v>
      </c>
      <c r="E407" s="8" t="s">
        <v>7</v>
      </c>
      <c r="F407" s="12">
        <f>ROUND(C12*370,0)</f>
        <v>3885</v>
      </c>
      <c r="G407" s="36"/>
      <c r="H407" s="17"/>
    </row>
    <row r="408" spans="2:8" s="1" customFormat="1" ht="14.25" thickBot="1" x14ac:dyDescent="0.2">
      <c r="B408" s="34"/>
      <c r="C408" s="18" t="s">
        <v>16</v>
      </c>
      <c r="D408" s="19" t="s">
        <v>402</v>
      </c>
      <c r="E408" s="20" t="s">
        <v>17</v>
      </c>
      <c r="F408" s="21" t="s">
        <v>85</v>
      </c>
      <c r="G408" s="22" t="s">
        <v>20</v>
      </c>
      <c r="H408" s="23" t="s">
        <v>114</v>
      </c>
    </row>
    <row r="409" spans="2:8" s="1" customFormat="1" x14ac:dyDescent="0.15">
      <c r="B409" s="13" t="s">
        <v>1</v>
      </c>
      <c r="C409" s="14" t="s">
        <v>0</v>
      </c>
      <c r="D409" s="29" t="s">
        <v>215</v>
      </c>
      <c r="E409" s="30"/>
      <c r="F409" s="31"/>
      <c r="G409" s="15" t="s">
        <v>57</v>
      </c>
      <c r="H409" s="16" t="s">
        <v>124</v>
      </c>
    </row>
    <row r="410" spans="2:8" s="1" customFormat="1" x14ac:dyDescent="0.15">
      <c r="B410" s="32">
        <v>300080</v>
      </c>
      <c r="C410" s="2" t="s">
        <v>2</v>
      </c>
      <c r="D410" s="9">
        <f>ROUND(C12*680,0)</f>
        <v>7140</v>
      </c>
      <c r="E410" s="3" t="s">
        <v>3</v>
      </c>
      <c r="F410" s="11">
        <f>ROUND(C12*880,0)</f>
        <v>9240</v>
      </c>
      <c r="G410" s="4" t="s">
        <v>8</v>
      </c>
      <c r="H410" s="17" t="s">
        <v>403</v>
      </c>
    </row>
    <row r="411" spans="2:8" s="1" customFormat="1" ht="13.5" customHeight="1" x14ac:dyDescent="0.15">
      <c r="B411" s="33"/>
      <c r="C411" s="5" t="s">
        <v>4</v>
      </c>
      <c r="D411" s="9">
        <f>ROUND(C12*880,0)</f>
        <v>9240</v>
      </c>
      <c r="E411" s="6" t="s">
        <v>5</v>
      </c>
      <c r="F411" s="11">
        <f>ROUND(C12*476,0)</f>
        <v>4998</v>
      </c>
      <c r="G411" s="35">
        <v>30</v>
      </c>
      <c r="H411" s="17"/>
    </row>
    <row r="412" spans="2:8" s="1" customFormat="1" ht="13.5" customHeight="1" x14ac:dyDescent="0.15">
      <c r="B412" s="33"/>
      <c r="C412" s="7" t="s">
        <v>6</v>
      </c>
      <c r="D412" s="10">
        <v>7</v>
      </c>
      <c r="E412" s="8" t="s">
        <v>7</v>
      </c>
      <c r="F412" s="12">
        <f>ROUND(C12*530,0)</f>
        <v>5565</v>
      </c>
      <c r="G412" s="36"/>
      <c r="H412" s="17"/>
    </row>
    <row r="413" spans="2:8" s="1" customFormat="1" ht="14.25" thickBot="1" x14ac:dyDescent="0.2">
      <c r="B413" s="34"/>
      <c r="C413" s="18" t="s">
        <v>16</v>
      </c>
      <c r="D413" s="19" t="s">
        <v>419</v>
      </c>
      <c r="E413" s="20" t="s">
        <v>17</v>
      </c>
      <c r="F413" s="21" t="s">
        <v>52</v>
      </c>
      <c r="G413" s="22" t="s">
        <v>20</v>
      </c>
      <c r="H413" s="23" t="s">
        <v>37</v>
      </c>
    </row>
    <row r="414" spans="2:8" s="1" customFormat="1" x14ac:dyDescent="0.15">
      <c r="B414" s="13" t="s">
        <v>1</v>
      </c>
      <c r="C414" s="14" t="s">
        <v>0</v>
      </c>
      <c r="D414" s="29" t="s">
        <v>217</v>
      </c>
      <c r="E414" s="30"/>
      <c r="F414" s="31"/>
      <c r="G414" s="15" t="s">
        <v>57</v>
      </c>
      <c r="H414" s="16" t="s">
        <v>55</v>
      </c>
    </row>
    <row r="415" spans="2:8" s="1" customFormat="1" x14ac:dyDescent="0.15">
      <c r="B415" s="32">
        <v>300081</v>
      </c>
      <c r="C415" s="2" t="s">
        <v>2</v>
      </c>
      <c r="D415" s="9">
        <f>ROUND(C12*680,0)</f>
        <v>7140</v>
      </c>
      <c r="E415" s="3" t="s">
        <v>3</v>
      </c>
      <c r="F415" s="11">
        <f>ROUND(C12*1936,0)</f>
        <v>20328</v>
      </c>
      <c r="G415" s="4" t="s">
        <v>8</v>
      </c>
      <c r="H415" s="17" t="s">
        <v>30</v>
      </c>
    </row>
    <row r="416" spans="2:8" s="1" customFormat="1" ht="13.5" customHeight="1" x14ac:dyDescent="0.15">
      <c r="B416" s="33"/>
      <c r="C416" s="5" t="s">
        <v>4</v>
      </c>
      <c r="D416" s="9">
        <f>ROUND(C12*880,0)</f>
        <v>9240</v>
      </c>
      <c r="E416" s="6" t="s">
        <v>5</v>
      </c>
      <c r="F416" s="11">
        <f>ROUND(C12*980,0)</f>
        <v>10290</v>
      </c>
      <c r="G416" s="35">
        <v>100</v>
      </c>
      <c r="H416" s="17"/>
    </row>
    <row r="417" spans="2:8" s="1" customFormat="1" ht="13.5" customHeight="1" x14ac:dyDescent="0.15">
      <c r="B417" s="33"/>
      <c r="C417" s="7" t="s">
        <v>6</v>
      </c>
      <c r="D417" s="10">
        <v>4</v>
      </c>
      <c r="E417" s="8" t="s">
        <v>7</v>
      </c>
      <c r="F417" s="12">
        <f>ROUND(C12*530,0)</f>
        <v>5565</v>
      </c>
      <c r="G417" s="36"/>
      <c r="H417" s="17"/>
    </row>
    <row r="418" spans="2:8" s="1" customFormat="1" ht="14.25" thickBot="1" x14ac:dyDescent="0.2">
      <c r="B418" s="34"/>
      <c r="C418" s="18" t="s">
        <v>16</v>
      </c>
      <c r="D418" s="19" t="s">
        <v>404</v>
      </c>
      <c r="E418" s="20" t="s">
        <v>17</v>
      </c>
      <c r="F418" s="21" t="s">
        <v>257</v>
      </c>
      <c r="G418" s="22" t="s">
        <v>20</v>
      </c>
      <c r="H418" s="23" t="s">
        <v>37</v>
      </c>
    </row>
    <row r="419" spans="2:8" s="1" customFormat="1" x14ac:dyDescent="0.15">
      <c r="B419" s="13" t="s">
        <v>1</v>
      </c>
      <c r="C419" s="14" t="s">
        <v>0</v>
      </c>
      <c r="D419" s="29" t="s">
        <v>219</v>
      </c>
      <c r="E419" s="30"/>
      <c r="F419" s="31"/>
      <c r="G419" s="15" t="s">
        <v>57</v>
      </c>
      <c r="H419" s="16" t="s">
        <v>44</v>
      </c>
    </row>
    <row r="420" spans="2:8" s="1" customFormat="1" x14ac:dyDescent="0.15">
      <c r="B420" s="32">
        <v>300082</v>
      </c>
      <c r="C420" s="2" t="s">
        <v>2</v>
      </c>
      <c r="D420" s="9">
        <f>ROUND(C12*680,0)</f>
        <v>7140</v>
      </c>
      <c r="E420" s="3" t="s">
        <v>3</v>
      </c>
      <c r="F420" s="11">
        <f>ROUND(C12*880,0)</f>
        <v>9240</v>
      </c>
      <c r="G420" s="4" t="s">
        <v>8</v>
      </c>
      <c r="H420" s="17" t="s">
        <v>26</v>
      </c>
    </row>
    <row r="421" spans="2:8" s="1" customFormat="1" ht="13.5" customHeight="1" x14ac:dyDescent="0.15">
      <c r="B421" s="33"/>
      <c r="C421" s="5" t="s">
        <v>4</v>
      </c>
      <c r="D421" s="9">
        <f>ROUND(C12*880,0)</f>
        <v>9240</v>
      </c>
      <c r="E421" s="6" t="s">
        <v>5</v>
      </c>
      <c r="F421" s="11">
        <f>ROUND(C12*476,0)</f>
        <v>4998</v>
      </c>
      <c r="G421" s="35">
        <v>100</v>
      </c>
      <c r="H421" s="17"/>
    </row>
    <row r="422" spans="2:8" s="1" customFormat="1" ht="13.5" customHeight="1" x14ac:dyDescent="0.15">
      <c r="B422" s="33"/>
      <c r="C422" s="7" t="s">
        <v>6</v>
      </c>
      <c r="D422" s="10">
        <v>7</v>
      </c>
      <c r="E422" s="8" t="s">
        <v>7</v>
      </c>
      <c r="F422" s="12">
        <f>ROUND(C12*480,0)</f>
        <v>5040</v>
      </c>
      <c r="G422" s="36"/>
      <c r="H422" s="17"/>
    </row>
    <row r="423" spans="2:8" s="1" customFormat="1" ht="14.25" thickBot="1" x14ac:dyDescent="0.2">
      <c r="B423" s="34"/>
      <c r="C423" s="18" t="s">
        <v>16</v>
      </c>
      <c r="D423" s="19" t="s">
        <v>391</v>
      </c>
      <c r="E423" s="20" t="s">
        <v>17</v>
      </c>
      <c r="F423" s="21" t="s">
        <v>392</v>
      </c>
      <c r="G423" s="22" t="s">
        <v>20</v>
      </c>
      <c r="H423" s="23" t="s">
        <v>37</v>
      </c>
    </row>
    <row r="424" spans="2:8" s="1" customFormat="1" x14ac:dyDescent="0.15">
      <c r="B424" s="13" t="s">
        <v>1</v>
      </c>
      <c r="C424" s="14" t="s">
        <v>0</v>
      </c>
      <c r="D424" s="29" t="s">
        <v>221</v>
      </c>
      <c r="E424" s="30"/>
      <c r="F424" s="31"/>
      <c r="G424" s="15" t="s">
        <v>57</v>
      </c>
      <c r="H424" s="16" t="s">
        <v>35</v>
      </c>
    </row>
    <row r="425" spans="2:8" s="1" customFormat="1" x14ac:dyDescent="0.15">
      <c r="B425" s="32">
        <v>300083</v>
      </c>
      <c r="C425" s="2" t="s">
        <v>2</v>
      </c>
      <c r="D425" s="9">
        <f>ROUND(C12*680,0)</f>
        <v>7140</v>
      </c>
      <c r="E425" s="3" t="s">
        <v>3</v>
      </c>
      <c r="F425" s="11">
        <f>ROUND(C12*880,0)</f>
        <v>9240</v>
      </c>
      <c r="G425" s="4" t="s">
        <v>8</v>
      </c>
      <c r="H425" s="17" t="s">
        <v>23</v>
      </c>
    </row>
    <row r="426" spans="2:8" s="1" customFormat="1" ht="13.5" customHeight="1" x14ac:dyDescent="0.15">
      <c r="B426" s="33"/>
      <c r="C426" s="5" t="s">
        <v>4</v>
      </c>
      <c r="D426" s="9">
        <f>ROUND(C12*880,0)</f>
        <v>9240</v>
      </c>
      <c r="E426" s="6" t="s">
        <v>5</v>
      </c>
      <c r="F426" s="11">
        <f>ROUND(C12*476,0)</f>
        <v>4998</v>
      </c>
      <c r="G426" s="35">
        <v>100</v>
      </c>
      <c r="H426" s="17"/>
    </row>
    <row r="427" spans="2:8" s="1" customFormat="1" ht="13.5" customHeight="1" x14ac:dyDescent="0.15">
      <c r="B427" s="33"/>
      <c r="C427" s="7" t="s">
        <v>6</v>
      </c>
      <c r="D427" s="10">
        <v>7</v>
      </c>
      <c r="E427" s="8" t="s">
        <v>7</v>
      </c>
      <c r="F427" s="12">
        <f>ROUND(C12*480,0)</f>
        <v>5040</v>
      </c>
      <c r="G427" s="36"/>
      <c r="H427" s="17"/>
    </row>
    <row r="428" spans="2:8" s="1" customFormat="1" ht="14.25" thickBot="1" x14ac:dyDescent="0.2">
      <c r="B428" s="34"/>
      <c r="C428" s="18" t="s">
        <v>16</v>
      </c>
      <c r="D428" s="19" t="s">
        <v>389</v>
      </c>
      <c r="E428" s="20" t="s">
        <v>17</v>
      </c>
      <c r="F428" s="21" t="s">
        <v>33</v>
      </c>
      <c r="G428" s="22" t="s">
        <v>20</v>
      </c>
      <c r="H428" s="23" t="s">
        <v>37</v>
      </c>
    </row>
    <row r="429" spans="2:8" s="1" customFormat="1" x14ac:dyDescent="0.15">
      <c r="B429" s="13" t="s">
        <v>1</v>
      </c>
      <c r="C429" s="14" t="s">
        <v>0</v>
      </c>
      <c r="D429" s="29" t="s">
        <v>222</v>
      </c>
      <c r="E429" s="30"/>
      <c r="F429" s="31"/>
      <c r="G429" s="15" t="s">
        <v>57</v>
      </c>
      <c r="H429" s="16" t="s">
        <v>41</v>
      </c>
    </row>
    <row r="430" spans="2:8" s="1" customFormat="1" x14ac:dyDescent="0.15">
      <c r="B430" s="32">
        <v>300084</v>
      </c>
      <c r="C430" s="2" t="s">
        <v>2</v>
      </c>
      <c r="D430" s="9">
        <f>ROUND(C12*680,0)</f>
        <v>7140</v>
      </c>
      <c r="E430" s="3" t="s">
        <v>3</v>
      </c>
      <c r="F430" s="11">
        <f>ROUND(C12*1936,0)</f>
        <v>20328</v>
      </c>
      <c r="G430" s="4" t="s">
        <v>8</v>
      </c>
      <c r="H430" s="17" t="s">
        <v>25</v>
      </c>
    </row>
    <row r="431" spans="2:8" s="1" customFormat="1" ht="13.5" customHeight="1" x14ac:dyDescent="0.15">
      <c r="B431" s="33"/>
      <c r="C431" s="5" t="s">
        <v>4</v>
      </c>
      <c r="D431" s="9">
        <f>ROUND(C12*880,0)</f>
        <v>9240</v>
      </c>
      <c r="E431" s="6" t="s">
        <v>5</v>
      </c>
      <c r="F431" s="11">
        <f>ROUND(C12*980,0)</f>
        <v>10290</v>
      </c>
      <c r="G431" s="35">
        <v>100</v>
      </c>
      <c r="H431" s="17"/>
    </row>
    <row r="432" spans="2:8" s="1" customFormat="1" ht="13.5" customHeight="1" x14ac:dyDescent="0.15">
      <c r="B432" s="33"/>
      <c r="C432" s="7" t="s">
        <v>6</v>
      </c>
      <c r="D432" s="10">
        <v>4</v>
      </c>
      <c r="E432" s="8" t="s">
        <v>7</v>
      </c>
      <c r="F432" s="12">
        <f>ROUND(C12*530,0)</f>
        <v>5565</v>
      </c>
      <c r="G432" s="36"/>
      <c r="H432" s="17"/>
    </row>
    <row r="433" spans="2:8" s="1" customFormat="1" ht="14.25" thickBot="1" x14ac:dyDescent="0.2">
      <c r="B433" s="34"/>
      <c r="C433" s="18" t="s">
        <v>16</v>
      </c>
      <c r="D433" s="19" t="s">
        <v>420</v>
      </c>
      <c r="E433" s="20" t="s">
        <v>17</v>
      </c>
      <c r="F433" s="21" t="s">
        <v>93</v>
      </c>
      <c r="G433" s="22" t="s">
        <v>20</v>
      </c>
      <c r="H433" s="23" t="s">
        <v>37</v>
      </c>
    </row>
    <row r="434" spans="2:8" s="1" customFormat="1" x14ac:dyDescent="0.15">
      <c r="B434" s="13" t="s">
        <v>1</v>
      </c>
      <c r="C434" s="14" t="s">
        <v>0</v>
      </c>
      <c r="D434" s="29" t="s">
        <v>223</v>
      </c>
      <c r="E434" s="30"/>
      <c r="F434" s="31"/>
      <c r="G434" s="15" t="s">
        <v>57</v>
      </c>
      <c r="H434" s="16" t="s">
        <v>44</v>
      </c>
    </row>
    <row r="435" spans="2:8" s="1" customFormat="1" x14ac:dyDescent="0.15">
      <c r="B435" s="32">
        <v>300085</v>
      </c>
      <c r="C435" s="2" t="s">
        <v>2</v>
      </c>
      <c r="D435" s="9">
        <f>ROUND(C12*680,0)</f>
        <v>7140</v>
      </c>
      <c r="E435" s="3" t="s">
        <v>3</v>
      </c>
      <c r="F435" s="11">
        <f>ROUND(C12*880,0)</f>
        <v>9240</v>
      </c>
      <c r="G435" s="4" t="s">
        <v>8</v>
      </c>
      <c r="H435" s="17" t="s">
        <v>26</v>
      </c>
    </row>
    <row r="436" spans="2:8" s="1" customFormat="1" ht="13.5" customHeight="1" x14ac:dyDescent="0.15">
      <c r="B436" s="33"/>
      <c r="C436" s="5" t="s">
        <v>4</v>
      </c>
      <c r="D436" s="9">
        <f>ROUND(C12*880,0)</f>
        <v>9240</v>
      </c>
      <c r="E436" s="6" t="s">
        <v>5</v>
      </c>
      <c r="F436" s="11">
        <f>ROUND(C12*476,0)</f>
        <v>4998</v>
      </c>
      <c r="G436" s="35">
        <v>100</v>
      </c>
      <c r="H436" s="17"/>
    </row>
    <row r="437" spans="2:8" s="1" customFormat="1" ht="13.5" customHeight="1" x14ac:dyDescent="0.15">
      <c r="B437" s="33"/>
      <c r="C437" s="7" t="s">
        <v>6</v>
      </c>
      <c r="D437" s="10">
        <v>7</v>
      </c>
      <c r="E437" s="8" t="s">
        <v>7</v>
      </c>
      <c r="F437" s="12">
        <f>ROUND(C12*530,0)</f>
        <v>5565</v>
      </c>
      <c r="G437" s="36"/>
      <c r="H437" s="17"/>
    </row>
    <row r="438" spans="2:8" s="1" customFormat="1" ht="14.25" thickBot="1" x14ac:dyDescent="0.2">
      <c r="B438" s="34"/>
      <c r="C438" s="18" t="s">
        <v>16</v>
      </c>
      <c r="D438" s="19" t="s">
        <v>382</v>
      </c>
      <c r="E438" s="20" t="s">
        <v>17</v>
      </c>
      <c r="F438" s="21" t="s">
        <v>421</v>
      </c>
      <c r="G438" s="22" t="s">
        <v>20</v>
      </c>
      <c r="H438" s="23" t="s">
        <v>37</v>
      </c>
    </row>
    <row r="439" spans="2:8" s="1" customFormat="1" x14ac:dyDescent="0.15">
      <c r="B439" s="13" t="s">
        <v>1</v>
      </c>
      <c r="C439" s="14" t="s">
        <v>0</v>
      </c>
      <c r="D439" s="29" t="s">
        <v>224</v>
      </c>
      <c r="E439" s="30"/>
      <c r="F439" s="31"/>
      <c r="G439" s="15" t="s">
        <v>57</v>
      </c>
      <c r="H439" s="16" t="s">
        <v>46</v>
      </c>
    </row>
    <row r="440" spans="2:8" s="1" customFormat="1" x14ac:dyDescent="0.15">
      <c r="B440" s="32">
        <v>300086</v>
      </c>
      <c r="C440" s="2" t="s">
        <v>2</v>
      </c>
      <c r="D440" s="9">
        <f>ROUND(C12*680,0)</f>
        <v>7140</v>
      </c>
      <c r="E440" s="3" t="s">
        <v>3</v>
      </c>
      <c r="F440" s="11">
        <f>ROUND(C12*1936,0)</f>
        <v>20328</v>
      </c>
      <c r="G440" s="4" t="s">
        <v>8</v>
      </c>
      <c r="H440" s="17" t="s">
        <v>27</v>
      </c>
    </row>
    <row r="441" spans="2:8" s="1" customFormat="1" ht="13.5" customHeight="1" x14ac:dyDescent="0.15">
      <c r="B441" s="33"/>
      <c r="C441" s="5" t="s">
        <v>4</v>
      </c>
      <c r="D441" s="9">
        <f>ROUND(C12*880,0)</f>
        <v>9240</v>
      </c>
      <c r="E441" s="6" t="s">
        <v>5</v>
      </c>
      <c r="F441" s="11">
        <f>ROUND(C12*980,0)</f>
        <v>10290</v>
      </c>
      <c r="G441" s="35">
        <v>100</v>
      </c>
      <c r="H441" s="17"/>
    </row>
    <row r="442" spans="2:8" s="1" customFormat="1" ht="13.5" customHeight="1" x14ac:dyDescent="0.15">
      <c r="B442" s="33"/>
      <c r="C442" s="7" t="s">
        <v>6</v>
      </c>
      <c r="D442" s="10">
        <v>4</v>
      </c>
      <c r="E442" s="8" t="s">
        <v>7</v>
      </c>
      <c r="F442" s="12">
        <f>ROUND(C12*530,0)</f>
        <v>5565</v>
      </c>
      <c r="G442" s="36"/>
      <c r="H442" s="17"/>
    </row>
    <row r="443" spans="2:8" s="1" customFormat="1" ht="14.25" thickBot="1" x14ac:dyDescent="0.2">
      <c r="B443" s="34"/>
      <c r="C443" s="18" t="s">
        <v>16</v>
      </c>
      <c r="D443" s="19" t="s">
        <v>422</v>
      </c>
      <c r="E443" s="20" t="s">
        <v>17</v>
      </c>
      <c r="F443" s="21" t="s">
        <v>257</v>
      </c>
      <c r="G443" s="22" t="s">
        <v>20</v>
      </c>
      <c r="H443" s="23" t="s">
        <v>37</v>
      </c>
    </row>
    <row r="444" spans="2:8" s="1" customFormat="1" x14ac:dyDescent="0.15">
      <c r="B444" s="13" t="s">
        <v>1</v>
      </c>
      <c r="C444" s="14" t="s">
        <v>0</v>
      </c>
      <c r="D444" s="29" t="s">
        <v>225</v>
      </c>
      <c r="E444" s="30"/>
      <c r="F444" s="31"/>
      <c r="G444" s="15" t="s">
        <v>57</v>
      </c>
      <c r="H444" s="16" t="s">
        <v>31</v>
      </c>
    </row>
    <row r="445" spans="2:8" s="1" customFormat="1" x14ac:dyDescent="0.15">
      <c r="B445" s="32">
        <v>300087</v>
      </c>
      <c r="C445" s="2" t="s">
        <v>2</v>
      </c>
      <c r="D445" s="9">
        <f>ROUND(C12*680,0)</f>
        <v>7140</v>
      </c>
      <c r="E445" s="3" t="s">
        <v>3</v>
      </c>
      <c r="F445" s="11">
        <f>ROUND(C12*880,0)</f>
        <v>9240</v>
      </c>
      <c r="G445" s="4" t="s">
        <v>8</v>
      </c>
      <c r="H445" s="17" t="s">
        <v>22</v>
      </c>
    </row>
    <row r="446" spans="2:8" s="1" customFormat="1" ht="13.5" customHeight="1" x14ac:dyDescent="0.15">
      <c r="B446" s="33"/>
      <c r="C446" s="5" t="s">
        <v>4</v>
      </c>
      <c r="D446" s="9">
        <f>ROUND(C12*880,0)</f>
        <v>9240</v>
      </c>
      <c r="E446" s="6" t="s">
        <v>5</v>
      </c>
      <c r="F446" s="11">
        <f>ROUND(C12*476,0)</f>
        <v>4998</v>
      </c>
      <c r="G446" s="35">
        <v>50</v>
      </c>
      <c r="H446" s="17"/>
    </row>
    <row r="447" spans="2:8" s="1" customFormat="1" ht="13.5" customHeight="1" x14ac:dyDescent="0.15">
      <c r="B447" s="33"/>
      <c r="C447" s="7" t="s">
        <v>6</v>
      </c>
      <c r="D447" s="10">
        <v>7</v>
      </c>
      <c r="E447" s="8" t="s">
        <v>7</v>
      </c>
      <c r="F447" s="12">
        <f>ROUND(C12*480,0)</f>
        <v>5040</v>
      </c>
      <c r="G447" s="36"/>
      <c r="H447" s="17"/>
    </row>
    <row r="448" spans="2:8" s="1" customFormat="1" ht="14.25" thickBot="1" x14ac:dyDescent="0.2">
      <c r="B448" s="34"/>
      <c r="C448" s="18" t="s">
        <v>16</v>
      </c>
      <c r="D448" s="19" t="s">
        <v>220</v>
      </c>
      <c r="E448" s="20" t="s">
        <v>17</v>
      </c>
      <c r="F448" s="21" t="s">
        <v>85</v>
      </c>
      <c r="G448" s="22" t="s">
        <v>20</v>
      </c>
      <c r="H448" s="23" t="s">
        <v>34</v>
      </c>
    </row>
    <row r="449" spans="2:8" s="1" customFormat="1" x14ac:dyDescent="0.15">
      <c r="B449" s="13" t="s">
        <v>1</v>
      </c>
      <c r="C449" s="14" t="s">
        <v>0</v>
      </c>
      <c r="D449" s="29" t="s">
        <v>226</v>
      </c>
      <c r="E449" s="30"/>
      <c r="F449" s="31"/>
      <c r="G449" s="15" t="s">
        <v>57</v>
      </c>
      <c r="H449" s="16" t="s">
        <v>55</v>
      </c>
    </row>
    <row r="450" spans="2:8" s="1" customFormat="1" x14ac:dyDescent="0.15">
      <c r="B450" s="32">
        <v>300088</v>
      </c>
      <c r="C450" s="2" t="s">
        <v>2</v>
      </c>
      <c r="D450" s="9">
        <f>ROUND(C12*680,0)</f>
        <v>7140</v>
      </c>
      <c r="E450" s="3" t="s">
        <v>3</v>
      </c>
      <c r="F450" s="11">
        <f>ROUND(C12*880,0)</f>
        <v>9240</v>
      </c>
      <c r="G450" s="4" t="s">
        <v>8</v>
      </c>
      <c r="H450" s="17" t="s">
        <v>30</v>
      </c>
    </row>
    <row r="451" spans="2:8" s="1" customFormat="1" ht="13.5" customHeight="1" x14ac:dyDescent="0.15">
      <c r="B451" s="33"/>
      <c r="C451" s="5" t="s">
        <v>4</v>
      </c>
      <c r="D451" s="9">
        <f>ROUND(C12*880,0)</f>
        <v>9240</v>
      </c>
      <c r="E451" s="6" t="s">
        <v>5</v>
      </c>
      <c r="F451" s="11">
        <f>ROUND(C12*476,0)</f>
        <v>4998</v>
      </c>
      <c r="G451" s="35">
        <v>100</v>
      </c>
      <c r="H451" s="17"/>
    </row>
    <row r="452" spans="2:8" s="1" customFormat="1" ht="13.5" customHeight="1" x14ac:dyDescent="0.15">
      <c r="B452" s="33"/>
      <c r="C452" s="7" t="s">
        <v>6</v>
      </c>
      <c r="D452" s="10">
        <v>7</v>
      </c>
      <c r="E452" s="8" t="s">
        <v>7</v>
      </c>
      <c r="F452" s="12">
        <f>ROUND(C12*480,0)</f>
        <v>5040</v>
      </c>
      <c r="G452" s="36"/>
      <c r="H452" s="17"/>
    </row>
    <row r="453" spans="2:8" s="1" customFormat="1" ht="14.25" thickBot="1" x14ac:dyDescent="0.2">
      <c r="B453" s="34"/>
      <c r="C453" s="18" t="s">
        <v>16</v>
      </c>
      <c r="D453" s="19" t="s">
        <v>40</v>
      </c>
      <c r="E453" s="20" t="s">
        <v>17</v>
      </c>
      <c r="F453" s="21" t="s">
        <v>93</v>
      </c>
      <c r="G453" s="22" t="s">
        <v>20</v>
      </c>
      <c r="H453" s="23" t="s">
        <v>37</v>
      </c>
    </row>
    <row r="454" spans="2:8" s="1" customFormat="1" x14ac:dyDescent="0.15">
      <c r="B454" s="13" t="s">
        <v>1</v>
      </c>
      <c r="C454" s="14" t="s">
        <v>0</v>
      </c>
      <c r="D454" s="29" t="s">
        <v>227</v>
      </c>
      <c r="E454" s="30"/>
      <c r="F454" s="31"/>
      <c r="G454" s="15" t="s">
        <v>57</v>
      </c>
      <c r="H454" s="16" t="s">
        <v>80</v>
      </c>
    </row>
    <row r="455" spans="2:8" s="1" customFormat="1" x14ac:dyDescent="0.15">
      <c r="B455" s="32">
        <v>300089</v>
      </c>
      <c r="C455" s="2" t="s">
        <v>2</v>
      </c>
      <c r="D455" s="9">
        <f>ROUND(C12*680,0)</f>
        <v>7140</v>
      </c>
      <c r="E455" s="3" t="s">
        <v>3</v>
      </c>
      <c r="F455" s="11">
        <f>ROUND(C12*1936,0)</f>
        <v>20328</v>
      </c>
      <c r="G455" s="4" t="s">
        <v>8</v>
      </c>
      <c r="H455" s="17" t="s">
        <v>81</v>
      </c>
    </row>
    <row r="456" spans="2:8" s="1" customFormat="1" ht="13.5" customHeight="1" x14ac:dyDescent="0.15">
      <c r="B456" s="33"/>
      <c r="C456" s="5" t="s">
        <v>4</v>
      </c>
      <c r="D456" s="9">
        <f>ROUND(C12*880,0)</f>
        <v>9240</v>
      </c>
      <c r="E456" s="6" t="s">
        <v>5</v>
      </c>
      <c r="F456" s="11">
        <f>ROUND(C12*980,0)</f>
        <v>10290</v>
      </c>
      <c r="G456" s="35">
        <v>100</v>
      </c>
      <c r="H456" s="17"/>
    </row>
    <row r="457" spans="2:8" s="1" customFormat="1" ht="13.5" customHeight="1" x14ac:dyDescent="0.15">
      <c r="B457" s="33"/>
      <c r="C457" s="7" t="s">
        <v>6</v>
      </c>
      <c r="D457" s="10">
        <v>4</v>
      </c>
      <c r="E457" s="8" t="s">
        <v>7</v>
      </c>
      <c r="F457" s="12">
        <f>ROUND(C12*530,0)</f>
        <v>5565</v>
      </c>
      <c r="G457" s="36"/>
      <c r="H457" s="17"/>
    </row>
    <row r="458" spans="2:8" s="1" customFormat="1" ht="14.25" thickBot="1" x14ac:dyDescent="0.2">
      <c r="B458" s="34"/>
      <c r="C458" s="18" t="s">
        <v>16</v>
      </c>
      <c r="D458" s="19" t="s">
        <v>393</v>
      </c>
      <c r="E458" s="20" t="s">
        <v>17</v>
      </c>
      <c r="F458" s="21" t="s">
        <v>218</v>
      </c>
      <c r="G458" s="22" t="s">
        <v>20</v>
      </c>
      <c r="H458" s="23" t="s">
        <v>37</v>
      </c>
    </row>
    <row r="459" spans="2:8" s="1" customFormat="1" x14ac:dyDescent="0.15">
      <c r="B459" s="13" t="s">
        <v>1</v>
      </c>
      <c r="C459" s="14" t="s">
        <v>0</v>
      </c>
      <c r="D459" s="29" t="s">
        <v>228</v>
      </c>
      <c r="E459" s="30"/>
      <c r="F459" s="31"/>
      <c r="G459" s="15" t="s">
        <v>57</v>
      </c>
      <c r="H459" s="16" t="s">
        <v>74</v>
      </c>
    </row>
    <row r="460" spans="2:8" s="1" customFormat="1" x14ac:dyDescent="0.15">
      <c r="B460" s="32">
        <v>300090</v>
      </c>
      <c r="C460" s="2" t="s">
        <v>2</v>
      </c>
      <c r="D460" s="9">
        <f>ROUND(C12*680,0)</f>
        <v>7140</v>
      </c>
      <c r="E460" s="3" t="s">
        <v>3</v>
      </c>
      <c r="F460" s="11">
        <f>ROUND(C12*880,0)</f>
        <v>9240</v>
      </c>
      <c r="G460" s="4" t="s">
        <v>8</v>
      </c>
      <c r="H460" s="17" t="s">
        <v>75</v>
      </c>
    </row>
    <row r="461" spans="2:8" s="1" customFormat="1" ht="13.5" customHeight="1" x14ac:dyDescent="0.15">
      <c r="B461" s="33"/>
      <c r="C461" s="5" t="s">
        <v>4</v>
      </c>
      <c r="D461" s="9">
        <f>ROUND(C12*880,0)</f>
        <v>9240</v>
      </c>
      <c r="E461" s="6" t="s">
        <v>5</v>
      </c>
      <c r="F461" s="11">
        <f>ROUND(C12*476,0)</f>
        <v>4998</v>
      </c>
      <c r="G461" s="35">
        <v>100</v>
      </c>
      <c r="H461" s="17"/>
    </row>
    <row r="462" spans="2:8" s="1" customFormat="1" ht="13.5" customHeight="1" x14ac:dyDescent="0.15">
      <c r="B462" s="33"/>
      <c r="C462" s="7" t="s">
        <v>6</v>
      </c>
      <c r="D462" s="10">
        <v>7</v>
      </c>
      <c r="E462" s="8" t="s">
        <v>7</v>
      </c>
      <c r="F462" s="12">
        <f>ROUND(C12*530,0)</f>
        <v>5565</v>
      </c>
      <c r="G462" s="36"/>
      <c r="H462" s="17"/>
    </row>
    <row r="463" spans="2:8" s="1" customFormat="1" ht="14.25" thickBot="1" x14ac:dyDescent="0.2">
      <c r="B463" s="34"/>
      <c r="C463" s="18" t="s">
        <v>16</v>
      </c>
      <c r="D463" s="19" t="s">
        <v>423</v>
      </c>
      <c r="E463" s="20" t="s">
        <v>17</v>
      </c>
      <c r="F463" s="21" t="s">
        <v>33</v>
      </c>
      <c r="G463" s="22" t="s">
        <v>20</v>
      </c>
      <c r="H463" s="23" t="s">
        <v>37</v>
      </c>
    </row>
    <row r="464" spans="2:8" s="1" customFormat="1" x14ac:dyDescent="0.15">
      <c r="B464" s="13" t="s">
        <v>1</v>
      </c>
      <c r="C464" s="14" t="s">
        <v>0</v>
      </c>
      <c r="D464" s="29" t="s">
        <v>229</v>
      </c>
      <c r="E464" s="30"/>
      <c r="F464" s="31"/>
      <c r="G464" s="15" t="s">
        <v>57</v>
      </c>
      <c r="H464" s="16" t="s">
        <v>77</v>
      </c>
    </row>
    <row r="465" spans="2:8" s="1" customFormat="1" x14ac:dyDescent="0.15">
      <c r="B465" s="32">
        <v>300091</v>
      </c>
      <c r="C465" s="2" t="s">
        <v>2</v>
      </c>
      <c r="D465" s="9">
        <f>ROUND(C12*680,0)</f>
        <v>7140</v>
      </c>
      <c r="E465" s="3" t="s">
        <v>3</v>
      </c>
      <c r="F465" s="11">
        <f>ROUND(C12*1936,0)</f>
        <v>20328</v>
      </c>
      <c r="G465" s="4" t="s">
        <v>8</v>
      </c>
      <c r="H465" s="17" t="s">
        <v>78</v>
      </c>
    </row>
    <row r="466" spans="2:8" s="1" customFormat="1" ht="13.5" customHeight="1" x14ac:dyDescent="0.15">
      <c r="B466" s="33"/>
      <c r="C466" s="5" t="s">
        <v>4</v>
      </c>
      <c r="D466" s="9">
        <f>ROUND(C12*880,0)</f>
        <v>9240</v>
      </c>
      <c r="E466" s="6" t="s">
        <v>5</v>
      </c>
      <c r="F466" s="11">
        <f>ROUND(C12*980,0)</f>
        <v>10290</v>
      </c>
      <c r="G466" s="35">
        <v>100</v>
      </c>
      <c r="H466" s="17"/>
    </row>
    <row r="467" spans="2:8" s="1" customFormat="1" ht="13.5" customHeight="1" x14ac:dyDescent="0.15">
      <c r="B467" s="33"/>
      <c r="C467" s="7" t="s">
        <v>6</v>
      </c>
      <c r="D467" s="10">
        <v>4</v>
      </c>
      <c r="E467" s="8" t="s">
        <v>7</v>
      </c>
      <c r="F467" s="12">
        <f>ROUND(C12*530,0)</f>
        <v>5565</v>
      </c>
      <c r="G467" s="36"/>
      <c r="H467" s="17"/>
    </row>
    <row r="468" spans="2:8" s="1" customFormat="1" ht="14.25" thickBot="1" x14ac:dyDescent="0.2">
      <c r="B468" s="34"/>
      <c r="C468" s="18" t="s">
        <v>16</v>
      </c>
      <c r="D468" s="19" t="s">
        <v>216</v>
      </c>
      <c r="E468" s="20" t="s">
        <v>17</v>
      </c>
      <c r="F468" s="21" t="s">
        <v>294</v>
      </c>
      <c r="G468" s="22" t="s">
        <v>20</v>
      </c>
      <c r="H468" s="23" t="s">
        <v>37</v>
      </c>
    </row>
    <row r="469" spans="2:8" s="1" customFormat="1" x14ac:dyDescent="0.15">
      <c r="B469" s="13" t="s">
        <v>1</v>
      </c>
      <c r="C469" s="14" t="s">
        <v>0</v>
      </c>
      <c r="D469" s="29" t="s">
        <v>230</v>
      </c>
      <c r="E469" s="30"/>
      <c r="F469" s="31"/>
      <c r="G469" s="15" t="s">
        <v>57</v>
      </c>
      <c r="H469" s="16" t="s">
        <v>38</v>
      </c>
    </row>
    <row r="470" spans="2:8" s="1" customFormat="1" x14ac:dyDescent="0.15">
      <c r="B470" s="32">
        <v>300092</v>
      </c>
      <c r="C470" s="2" t="s">
        <v>2</v>
      </c>
      <c r="D470" s="9">
        <f>ROUND(C12*680,0)</f>
        <v>7140</v>
      </c>
      <c r="E470" s="3" t="s">
        <v>3</v>
      </c>
      <c r="F470" s="11">
        <f>ROUND(C12*880,0)</f>
        <v>9240</v>
      </c>
      <c r="G470" s="4" t="s">
        <v>8</v>
      </c>
      <c r="H470" s="17" t="s">
        <v>24</v>
      </c>
    </row>
    <row r="471" spans="2:8" s="1" customFormat="1" ht="13.5" customHeight="1" x14ac:dyDescent="0.15">
      <c r="B471" s="33"/>
      <c r="C471" s="5" t="s">
        <v>4</v>
      </c>
      <c r="D471" s="9">
        <f>ROUND(C12*880,0)</f>
        <v>9240</v>
      </c>
      <c r="E471" s="6" t="s">
        <v>5</v>
      </c>
      <c r="F471" s="11">
        <f>ROUND(C12*476,0)</f>
        <v>4998</v>
      </c>
      <c r="G471" s="35">
        <v>50</v>
      </c>
      <c r="H471" s="17"/>
    </row>
    <row r="472" spans="2:8" s="1" customFormat="1" ht="13.5" customHeight="1" x14ac:dyDescent="0.15">
      <c r="B472" s="33"/>
      <c r="C472" s="7" t="s">
        <v>6</v>
      </c>
      <c r="D472" s="10">
        <v>7</v>
      </c>
      <c r="E472" s="8" t="s">
        <v>7</v>
      </c>
      <c r="F472" s="12">
        <f>ROUND(C12*480,0)</f>
        <v>5040</v>
      </c>
      <c r="G472" s="36"/>
      <c r="H472" s="17"/>
    </row>
    <row r="473" spans="2:8" s="1" customFormat="1" ht="14.25" thickBot="1" x14ac:dyDescent="0.2">
      <c r="B473" s="34"/>
      <c r="C473" s="18" t="s">
        <v>16</v>
      </c>
      <c r="D473" s="19" t="s">
        <v>419</v>
      </c>
      <c r="E473" s="20" t="s">
        <v>17</v>
      </c>
      <c r="F473" s="21" t="s">
        <v>52</v>
      </c>
      <c r="G473" s="22" t="s">
        <v>20</v>
      </c>
      <c r="H473" s="23" t="s">
        <v>37</v>
      </c>
    </row>
    <row r="474" spans="2:8" s="1" customFormat="1" x14ac:dyDescent="0.15">
      <c r="B474" s="13" t="s">
        <v>1</v>
      </c>
      <c r="C474" s="14" t="s">
        <v>0</v>
      </c>
      <c r="D474" s="29" t="s">
        <v>231</v>
      </c>
      <c r="E474" s="30"/>
      <c r="F474" s="31"/>
      <c r="G474" s="15" t="s">
        <v>57</v>
      </c>
      <c r="H474" s="16" t="s">
        <v>35</v>
      </c>
    </row>
    <row r="475" spans="2:8" s="1" customFormat="1" x14ac:dyDescent="0.15">
      <c r="B475" s="32">
        <v>300093</v>
      </c>
      <c r="C475" s="2" t="s">
        <v>2</v>
      </c>
      <c r="D475" s="9">
        <f>ROUND(C12*680,0)</f>
        <v>7140</v>
      </c>
      <c r="E475" s="3" t="s">
        <v>3</v>
      </c>
      <c r="F475" s="11">
        <f>ROUND(C12*880,0)</f>
        <v>9240</v>
      </c>
      <c r="G475" s="4" t="s">
        <v>8</v>
      </c>
      <c r="H475" s="17" t="s">
        <v>23</v>
      </c>
    </row>
    <row r="476" spans="2:8" s="1" customFormat="1" ht="13.5" customHeight="1" x14ac:dyDescent="0.15">
      <c r="B476" s="33"/>
      <c r="C476" s="5" t="s">
        <v>4</v>
      </c>
      <c r="D476" s="9">
        <f>ROUND(C12*880,0)</f>
        <v>9240</v>
      </c>
      <c r="E476" s="6" t="s">
        <v>5</v>
      </c>
      <c r="F476" s="11">
        <f>ROUND(C12*476,0)</f>
        <v>4998</v>
      </c>
      <c r="G476" s="35">
        <v>100</v>
      </c>
      <c r="H476" s="17"/>
    </row>
    <row r="477" spans="2:8" s="1" customFormat="1" ht="13.5" customHeight="1" x14ac:dyDescent="0.15">
      <c r="B477" s="33"/>
      <c r="C477" s="7" t="s">
        <v>6</v>
      </c>
      <c r="D477" s="10">
        <v>7</v>
      </c>
      <c r="E477" s="8" t="s">
        <v>7</v>
      </c>
      <c r="F477" s="12">
        <f>ROUND(C12*480,0)</f>
        <v>5040</v>
      </c>
      <c r="G477" s="36"/>
      <c r="H477" s="17"/>
    </row>
    <row r="478" spans="2:8" s="1" customFormat="1" ht="14.25" thickBot="1" x14ac:dyDescent="0.2">
      <c r="B478" s="34"/>
      <c r="C478" s="18" t="s">
        <v>16</v>
      </c>
      <c r="D478" s="19" t="s">
        <v>420</v>
      </c>
      <c r="E478" s="20" t="s">
        <v>17</v>
      </c>
      <c r="F478" s="21" t="s">
        <v>51</v>
      </c>
      <c r="G478" s="22" t="s">
        <v>20</v>
      </c>
      <c r="H478" s="23" t="s">
        <v>37</v>
      </c>
    </row>
    <row r="479" spans="2:8" s="1" customFormat="1" x14ac:dyDescent="0.15">
      <c r="B479" s="13" t="s">
        <v>1</v>
      </c>
      <c r="C479" s="14" t="s">
        <v>0</v>
      </c>
      <c r="D479" s="29" t="s">
        <v>232</v>
      </c>
      <c r="E479" s="30"/>
      <c r="F479" s="31"/>
      <c r="G479" s="15" t="s">
        <v>57</v>
      </c>
      <c r="H479" s="16" t="s">
        <v>41</v>
      </c>
    </row>
    <row r="480" spans="2:8" s="1" customFormat="1" x14ac:dyDescent="0.15">
      <c r="B480" s="32">
        <v>300094</v>
      </c>
      <c r="C480" s="2" t="s">
        <v>2</v>
      </c>
      <c r="D480" s="9">
        <f>ROUND(C12*680,0)</f>
        <v>7140</v>
      </c>
      <c r="E480" s="3" t="s">
        <v>3</v>
      </c>
      <c r="F480" s="11">
        <f>ROUND(C12*1936,0)</f>
        <v>20328</v>
      </c>
      <c r="G480" s="4" t="s">
        <v>8</v>
      </c>
      <c r="H480" s="17" t="s">
        <v>25</v>
      </c>
    </row>
    <row r="481" spans="2:8" s="1" customFormat="1" ht="13.5" customHeight="1" x14ac:dyDescent="0.15">
      <c r="B481" s="33"/>
      <c r="C481" s="5" t="s">
        <v>4</v>
      </c>
      <c r="D481" s="9">
        <f>ROUND(C12*880,0)</f>
        <v>9240</v>
      </c>
      <c r="E481" s="6" t="s">
        <v>5</v>
      </c>
      <c r="F481" s="11">
        <f>ROUND(C12*980,0)</f>
        <v>10290</v>
      </c>
      <c r="G481" s="35">
        <v>100</v>
      </c>
      <c r="H481" s="17"/>
    </row>
    <row r="482" spans="2:8" s="1" customFormat="1" ht="13.5" customHeight="1" x14ac:dyDescent="0.15">
      <c r="B482" s="33"/>
      <c r="C482" s="7" t="s">
        <v>6</v>
      </c>
      <c r="D482" s="10">
        <v>4</v>
      </c>
      <c r="E482" s="8" t="s">
        <v>7</v>
      </c>
      <c r="F482" s="12">
        <f>ROUND(C12*530,0)</f>
        <v>5565</v>
      </c>
      <c r="G482" s="36"/>
      <c r="H482" s="17"/>
    </row>
    <row r="483" spans="2:8" s="1" customFormat="1" ht="14.25" thickBot="1" x14ac:dyDescent="0.2">
      <c r="B483" s="34"/>
      <c r="C483" s="18" t="s">
        <v>16</v>
      </c>
      <c r="D483" s="19" t="s">
        <v>415</v>
      </c>
      <c r="E483" s="20" t="s">
        <v>17</v>
      </c>
      <c r="F483" s="21" t="s">
        <v>293</v>
      </c>
      <c r="G483" s="22" t="s">
        <v>20</v>
      </c>
      <c r="H483" s="23" t="s">
        <v>37</v>
      </c>
    </row>
    <row r="484" spans="2:8" s="1" customFormat="1" x14ac:dyDescent="0.15">
      <c r="B484" s="13" t="s">
        <v>1</v>
      </c>
      <c r="C484" s="14" t="s">
        <v>0</v>
      </c>
      <c r="D484" s="29" t="s">
        <v>233</v>
      </c>
      <c r="E484" s="30"/>
      <c r="F484" s="31"/>
      <c r="G484" s="15" t="s">
        <v>57</v>
      </c>
      <c r="H484" s="16" t="s">
        <v>91</v>
      </c>
    </row>
    <row r="485" spans="2:8" s="1" customFormat="1" x14ac:dyDescent="0.15">
      <c r="B485" s="32">
        <v>300095</v>
      </c>
      <c r="C485" s="2" t="s">
        <v>2</v>
      </c>
      <c r="D485" s="9">
        <f>ROUND(C12*680,0)</f>
        <v>7140</v>
      </c>
      <c r="E485" s="3" t="s">
        <v>3</v>
      </c>
      <c r="F485" s="11">
        <f>ROUND(C12*880,0)</f>
        <v>9240</v>
      </c>
      <c r="G485" s="4" t="s">
        <v>8</v>
      </c>
      <c r="H485" s="17" t="s">
        <v>92</v>
      </c>
    </row>
    <row r="486" spans="2:8" s="1" customFormat="1" ht="13.5" customHeight="1" x14ac:dyDescent="0.15">
      <c r="B486" s="33"/>
      <c r="C486" s="5" t="s">
        <v>4</v>
      </c>
      <c r="D486" s="9">
        <f>ROUND(C12*880,0)</f>
        <v>9240</v>
      </c>
      <c r="E486" s="6" t="s">
        <v>5</v>
      </c>
      <c r="F486" s="11">
        <f>ROUND(C12*476,0)</f>
        <v>4998</v>
      </c>
      <c r="G486" s="35">
        <v>100</v>
      </c>
      <c r="H486" s="17"/>
    </row>
    <row r="487" spans="2:8" s="1" customFormat="1" ht="13.5" customHeight="1" x14ac:dyDescent="0.15">
      <c r="B487" s="33"/>
      <c r="C487" s="7" t="s">
        <v>6</v>
      </c>
      <c r="D487" s="10">
        <v>7</v>
      </c>
      <c r="E487" s="8" t="s">
        <v>7</v>
      </c>
      <c r="F487" s="12">
        <f>ROUND(C12*530,0)</f>
        <v>5565</v>
      </c>
      <c r="G487" s="36"/>
      <c r="H487" s="17"/>
    </row>
    <row r="488" spans="2:8" s="1" customFormat="1" ht="14.25" thickBot="1" x14ac:dyDescent="0.2">
      <c r="B488" s="34"/>
      <c r="C488" s="18" t="s">
        <v>16</v>
      </c>
      <c r="D488" s="19" t="s">
        <v>424</v>
      </c>
      <c r="E488" s="20" t="s">
        <v>17</v>
      </c>
      <c r="F488" s="21" t="s">
        <v>54</v>
      </c>
      <c r="G488" s="22" t="s">
        <v>20</v>
      </c>
      <c r="H488" s="23" t="s">
        <v>37</v>
      </c>
    </row>
    <row r="489" spans="2:8" s="1" customFormat="1" x14ac:dyDescent="0.15">
      <c r="B489" s="13" t="s">
        <v>1</v>
      </c>
      <c r="C489" s="14" t="s">
        <v>0</v>
      </c>
      <c r="D489" s="29" t="s">
        <v>234</v>
      </c>
      <c r="E489" s="30"/>
      <c r="F489" s="31"/>
      <c r="G489" s="15" t="s">
        <v>57</v>
      </c>
      <c r="H489" s="16" t="s">
        <v>98</v>
      </c>
    </row>
    <row r="490" spans="2:8" s="1" customFormat="1" x14ac:dyDescent="0.15">
      <c r="B490" s="32">
        <v>300096</v>
      </c>
      <c r="C490" s="2" t="s">
        <v>2</v>
      </c>
      <c r="D490" s="9">
        <f>ROUND(C12*680,0)</f>
        <v>7140</v>
      </c>
      <c r="E490" s="3" t="s">
        <v>3</v>
      </c>
      <c r="F490" s="11">
        <f>ROUND(C12*1936,0)</f>
        <v>20328</v>
      </c>
      <c r="G490" s="4" t="s">
        <v>8</v>
      </c>
      <c r="H490" s="17" t="s">
        <v>99</v>
      </c>
    </row>
    <row r="491" spans="2:8" s="1" customFormat="1" ht="13.5" customHeight="1" x14ac:dyDescent="0.15">
      <c r="B491" s="33"/>
      <c r="C491" s="5" t="s">
        <v>4</v>
      </c>
      <c r="D491" s="9">
        <f>ROUND(C12*880,0)</f>
        <v>9240</v>
      </c>
      <c r="E491" s="6" t="s">
        <v>5</v>
      </c>
      <c r="F491" s="11">
        <f>ROUND(C12*980,0)</f>
        <v>10290</v>
      </c>
      <c r="G491" s="35">
        <v>100</v>
      </c>
      <c r="H491" s="17"/>
    </row>
    <row r="492" spans="2:8" s="1" customFormat="1" ht="13.5" customHeight="1" x14ac:dyDescent="0.15">
      <c r="B492" s="33"/>
      <c r="C492" s="7" t="s">
        <v>6</v>
      </c>
      <c r="D492" s="10">
        <v>4</v>
      </c>
      <c r="E492" s="8" t="s">
        <v>7</v>
      </c>
      <c r="F492" s="12">
        <f>ROUND(C12*530,0)</f>
        <v>5565</v>
      </c>
      <c r="G492" s="36"/>
      <c r="H492" s="17"/>
    </row>
    <row r="493" spans="2:8" s="1" customFormat="1" ht="14.25" thickBot="1" x14ac:dyDescent="0.2">
      <c r="B493" s="34"/>
      <c r="C493" s="18" t="s">
        <v>16</v>
      </c>
      <c r="D493" s="19" t="s">
        <v>216</v>
      </c>
      <c r="E493" s="20" t="s">
        <v>17</v>
      </c>
      <c r="F493" s="21" t="s">
        <v>418</v>
      </c>
      <c r="G493" s="22" t="s">
        <v>20</v>
      </c>
      <c r="H493" s="23" t="s">
        <v>37</v>
      </c>
    </row>
    <row r="494" spans="2:8" s="1" customFormat="1" x14ac:dyDescent="0.15">
      <c r="B494" s="13" t="s">
        <v>1</v>
      </c>
      <c r="C494" s="14" t="s">
        <v>0</v>
      </c>
      <c r="D494" s="29" t="s">
        <v>235</v>
      </c>
      <c r="E494" s="30"/>
      <c r="F494" s="31"/>
      <c r="G494" s="15" t="s">
        <v>57</v>
      </c>
      <c r="H494" s="16" t="s">
        <v>47</v>
      </c>
    </row>
    <row r="495" spans="2:8" s="1" customFormat="1" x14ac:dyDescent="0.15">
      <c r="B495" s="32">
        <v>300097</v>
      </c>
      <c r="C495" s="2" t="s">
        <v>2</v>
      </c>
      <c r="D495" s="9">
        <f>ROUND(C12*680,0)</f>
        <v>7140</v>
      </c>
      <c r="E495" s="3" t="s">
        <v>3</v>
      </c>
      <c r="F495" s="11">
        <f>ROUND(C12*880,0)</f>
        <v>9240</v>
      </c>
      <c r="G495" s="4" t="s">
        <v>8</v>
      </c>
      <c r="H495" s="17" t="s">
        <v>28</v>
      </c>
    </row>
    <row r="496" spans="2:8" s="1" customFormat="1" ht="13.5" customHeight="1" x14ac:dyDescent="0.15">
      <c r="B496" s="33"/>
      <c r="C496" s="5" t="s">
        <v>4</v>
      </c>
      <c r="D496" s="9">
        <f>ROUND(C12*880,0)</f>
        <v>9240</v>
      </c>
      <c r="E496" s="6" t="s">
        <v>5</v>
      </c>
      <c r="F496" s="11">
        <f>ROUND(C12*476,0)</f>
        <v>4998</v>
      </c>
      <c r="G496" s="35">
        <v>50</v>
      </c>
      <c r="H496" s="17"/>
    </row>
    <row r="497" spans="2:8" s="1" customFormat="1" ht="13.5" customHeight="1" x14ac:dyDescent="0.15">
      <c r="B497" s="33"/>
      <c r="C497" s="7" t="s">
        <v>6</v>
      </c>
      <c r="D497" s="10">
        <v>7</v>
      </c>
      <c r="E497" s="8" t="s">
        <v>7</v>
      </c>
      <c r="F497" s="12">
        <f>ROUND(C12*480,0)</f>
        <v>5040</v>
      </c>
      <c r="G497" s="36"/>
      <c r="H497" s="17"/>
    </row>
    <row r="498" spans="2:8" s="1" customFormat="1" ht="14.25" thickBot="1" x14ac:dyDescent="0.2">
      <c r="B498" s="34"/>
      <c r="C498" s="18" t="s">
        <v>16</v>
      </c>
      <c r="D498" s="19" t="s">
        <v>425</v>
      </c>
      <c r="E498" s="20" t="s">
        <v>17</v>
      </c>
      <c r="F498" s="21" t="s">
        <v>48</v>
      </c>
      <c r="G498" s="22" t="s">
        <v>20</v>
      </c>
      <c r="H498" s="23" t="s">
        <v>37</v>
      </c>
    </row>
    <row r="499" spans="2:8" s="1" customFormat="1" x14ac:dyDescent="0.15">
      <c r="B499" s="13" t="s">
        <v>1</v>
      </c>
      <c r="C499" s="14" t="s">
        <v>0</v>
      </c>
      <c r="D499" s="29" t="s">
        <v>236</v>
      </c>
      <c r="E499" s="30"/>
      <c r="F499" s="31"/>
      <c r="G499" s="15" t="s">
        <v>57</v>
      </c>
      <c r="H499" s="16" t="s">
        <v>55</v>
      </c>
    </row>
    <row r="500" spans="2:8" s="1" customFormat="1" x14ac:dyDescent="0.15">
      <c r="B500" s="32">
        <v>300098</v>
      </c>
      <c r="C500" s="2" t="s">
        <v>2</v>
      </c>
      <c r="D500" s="9">
        <f>ROUND(C12*680,0)</f>
        <v>7140</v>
      </c>
      <c r="E500" s="3" t="s">
        <v>3</v>
      </c>
      <c r="F500" s="11">
        <f>ROUND(C12*880,0)</f>
        <v>9240</v>
      </c>
      <c r="G500" s="4" t="s">
        <v>8</v>
      </c>
      <c r="H500" s="17" t="s">
        <v>30</v>
      </c>
    </row>
    <row r="501" spans="2:8" s="1" customFormat="1" ht="13.5" customHeight="1" x14ac:dyDescent="0.15">
      <c r="B501" s="33"/>
      <c r="C501" s="5" t="s">
        <v>4</v>
      </c>
      <c r="D501" s="9">
        <f>ROUND(C12*880,0)</f>
        <v>9240</v>
      </c>
      <c r="E501" s="6" t="s">
        <v>5</v>
      </c>
      <c r="F501" s="11">
        <f>ROUND(C12*476,0)</f>
        <v>4998</v>
      </c>
      <c r="G501" s="35">
        <v>100</v>
      </c>
      <c r="H501" s="17"/>
    </row>
    <row r="502" spans="2:8" s="1" customFormat="1" ht="13.5" customHeight="1" x14ac:dyDescent="0.15">
      <c r="B502" s="33"/>
      <c r="C502" s="7" t="s">
        <v>6</v>
      </c>
      <c r="D502" s="10">
        <v>7</v>
      </c>
      <c r="E502" s="8" t="s">
        <v>7</v>
      </c>
      <c r="F502" s="12">
        <f>ROUND(C12*480,0)</f>
        <v>5040</v>
      </c>
      <c r="G502" s="36"/>
      <c r="H502" s="17"/>
    </row>
    <row r="503" spans="2:8" s="1" customFormat="1" ht="14.25" thickBot="1" x14ac:dyDescent="0.2">
      <c r="B503" s="34"/>
      <c r="C503" s="18" t="s">
        <v>16</v>
      </c>
      <c r="D503" s="19" t="s">
        <v>371</v>
      </c>
      <c r="E503" s="20" t="s">
        <v>17</v>
      </c>
      <c r="F503" s="21" t="s">
        <v>49</v>
      </c>
      <c r="G503" s="22" t="s">
        <v>20</v>
      </c>
      <c r="H503" s="23" t="s">
        <v>37</v>
      </c>
    </row>
    <row r="504" spans="2:8" s="1" customFormat="1" x14ac:dyDescent="0.15">
      <c r="B504" s="13" t="s">
        <v>1</v>
      </c>
      <c r="C504" s="14" t="s">
        <v>0</v>
      </c>
      <c r="D504" s="29" t="s">
        <v>237</v>
      </c>
      <c r="E504" s="30"/>
      <c r="F504" s="31"/>
      <c r="G504" s="15" t="s">
        <v>57</v>
      </c>
      <c r="H504" s="16" t="s">
        <v>80</v>
      </c>
    </row>
    <row r="505" spans="2:8" s="1" customFormat="1" x14ac:dyDescent="0.15">
      <c r="B505" s="32">
        <v>300099</v>
      </c>
      <c r="C505" s="2" t="s">
        <v>2</v>
      </c>
      <c r="D505" s="9">
        <f>ROUND(C12*680,0)</f>
        <v>7140</v>
      </c>
      <c r="E505" s="3" t="s">
        <v>3</v>
      </c>
      <c r="F505" s="11">
        <f>ROUND(C12*1936,0)</f>
        <v>20328</v>
      </c>
      <c r="G505" s="4" t="s">
        <v>8</v>
      </c>
      <c r="H505" s="17" t="s">
        <v>81</v>
      </c>
    </row>
    <row r="506" spans="2:8" s="1" customFormat="1" ht="13.5" customHeight="1" x14ac:dyDescent="0.15">
      <c r="B506" s="33"/>
      <c r="C506" s="5" t="s">
        <v>4</v>
      </c>
      <c r="D506" s="9">
        <f>ROUND(C12*880,0)</f>
        <v>9240</v>
      </c>
      <c r="E506" s="6" t="s">
        <v>5</v>
      </c>
      <c r="F506" s="11">
        <f>ROUND(C12*980,0)</f>
        <v>10290</v>
      </c>
      <c r="G506" s="35">
        <v>100</v>
      </c>
      <c r="H506" s="17"/>
    </row>
    <row r="507" spans="2:8" s="1" customFormat="1" ht="13.5" customHeight="1" x14ac:dyDescent="0.15">
      <c r="B507" s="33"/>
      <c r="C507" s="7" t="s">
        <v>6</v>
      </c>
      <c r="D507" s="10">
        <v>4</v>
      </c>
      <c r="E507" s="8" t="s">
        <v>7</v>
      </c>
      <c r="F507" s="12">
        <f>ROUND(C12*530,0)</f>
        <v>5565</v>
      </c>
      <c r="G507" s="36"/>
      <c r="H507" s="17"/>
    </row>
    <row r="508" spans="2:8" s="1" customFormat="1" ht="14.25" thickBot="1" x14ac:dyDescent="0.2">
      <c r="B508" s="34"/>
      <c r="C508" s="18" t="s">
        <v>16</v>
      </c>
      <c r="D508" s="19" t="s">
        <v>426</v>
      </c>
      <c r="E508" s="20" t="s">
        <v>17</v>
      </c>
      <c r="F508" s="21" t="s">
        <v>392</v>
      </c>
      <c r="G508" s="22" t="s">
        <v>20</v>
      </c>
      <c r="H508" s="23" t="s">
        <v>37</v>
      </c>
    </row>
    <row r="509" spans="2:8" s="1" customFormat="1" x14ac:dyDescent="0.15">
      <c r="B509" s="13" t="s">
        <v>1</v>
      </c>
      <c r="C509" s="14" t="s">
        <v>0</v>
      </c>
      <c r="D509" s="29" t="s">
        <v>238</v>
      </c>
      <c r="E509" s="30"/>
      <c r="F509" s="31"/>
      <c r="G509" s="15" t="s">
        <v>57</v>
      </c>
      <c r="H509" s="16" t="s">
        <v>108</v>
      </c>
    </row>
    <row r="510" spans="2:8" s="1" customFormat="1" x14ac:dyDescent="0.15">
      <c r="B510" s="32">
        <v>300100</v>
      </c>
      <c r="C510" s="2" t="s">
        <v>2</v>
      </c>
      <c r="D510" s="9">
        <f>ROUND(C12*680,0)</f>
        <v>7140</v>
      </c>
      <c r="E510" s="3" t="s">
        <v>3</v>
      </c>
      <c r="F510" s="11">
        <f>ROUND(C12*880,0)</f>
        <v>9240</v>
      </c>
      <c r="G510" s="4" t="s">
        <v>8</v>
      </c>
      <c r="H510" s="17" t="s">
        <v>109</v>
      </c>
    </row>
    <row r="511" spans="2:8" s="1" customFormat="1" ht="13.5" customHeight="1" x14ac:dyDescent="0.15">
      <c r="B511" s="33"/>
      <c r="C511" s="5" t="s">
        <v>4</v>
      </c>
      <c r="D511" s="9">
        <f>ROUND(C12*880,0)</f>
        <v>9240</v>
      </c>
      <c r="E511" s="6" t="s">
        <v>5</v>
      </c>
      <c r="F511" s="11">
        <f>ROUND(C12*476,0)</f>
        <v>4998</v>
      </c>
      <c r="G511" s="35">
        <v>100</v>
      </c>
      <c r="H511" s="17"/>
    </row>
    <row r="512" spans="2:8" s="1" customFormat="1" ht="13.5" customHeight="1" x14ac:dyDescent="0.15">
      <c r="B512" s="33"/>
      <c r="C512" s="7" t="s">
        <v>6</v>
      </c>
      <c r="D512" s="10">
        <v>7</v>
      </c>
      <c r="E512" s="8" t="s">
        <v>7</v>
      </c>
      <c r="F512" s="12">
        <f>ROUND(C12*530,0)</f>
        <v>5565</v>
      </c>
      <c r="G512" s="36"/>
      <c r="H512" s="17"/>
    </row>
    <row r="513" spans="2:8" s="1" customFormat="1" ht="14.25" thickBot="1" x14ac:dyDescent="0.2">
      <c r="B513" s="34"/>
      <c r="C513" s="18" t="s">
        <v>16</v>
      </c>
      <c r="D513" s="19" t="s">
        <v>399</v>
      </c>
      <c r="E513" s="20" t="s">
        <v>17</v>
      </c>
      <c r="F513" s="21" t="s">
        <v>293</v>
      </c>
      <c r="G513" s="22" t="s">
        <v>20</v>
      </c>
      <c r="H513" s="23" t="s">
        <v>37</v>
      </c>
    </row>
    <row r="514" spans="2:8" s="1" customFormat="1" x14ac:dyDescent="0.15">
      <c r="B514" s="13" t="s">
        <v>1</v>
      </c>
      <c r="C514" s="14" t="s">
        <v>0</v>
      </c>
      <c r="D514" s="29" t="s">
        <v>239</v>
      </c>
      <c r="E514" s="30"/>
      <c r="F514" s="31"/>
      <c r="G514" s="15" t="s">
        <v>57</v>
      </c>
      <c r="H514" s="16" t="s">
        <v>116</v>
      </c>
    </row>
    <row r="515" spans="2:8" s="1" customFormat="1" x14ac:dyDescent="0.15">
      <c r="B515" s="32">
        <v>300101</v>
      </c>
      <c r="C515" s="2" t="s">
        <v>2</v>
      </c>
      <c r="D515" s="9">
        <f>ROUND(C12*680,0)</f>
        <v>7140</v>
      </c>
      <c r="E515" s="3" t="s">
        <v>3</v>
      </c>
      <c r="F515" s="11">
        <f>ROUND(C12*1936,0)</f>
        <v>20328</v>
      </c>
      <c r="G515" s="4" t="s">
        <v>8</v>
      </c>
      <c r="H515" s="17" t="s">
        <v>117</v>
      </c>
    </row>
    <row r="516" spans="2:8" s="1" customFormat="1" ht="13.5" customHeight="1" x14ac:dyDescent="0.15">
      <c r="B516" s="33"/>
      <c r="C516" s="5" t="s">
        <v>4</v>
      </c>
      <c r="D516" s="9">
        <f>ROUND(C12*880,0)</f>
        <v>9240</v>
      </c>
      <c r="E516" s="6" t="s">
        <v>5</v>
      </c>
      <c r="F516" s="11">
        <f>ROUND(C12*980,0)</f>
        <v>10290</v>
      </c>
      <c r="G516" s="35">
        <v>100</v>
      </c>
      <c r="H516" s="17"/>
    </row>
    <row r="517" spans="2:8" s="1" customFormat="1" ht="13.5" customHeight="1" x14ac:dyDescent="0.15">
      <c r="B517" s="33"/>
      <c r="C517" s="7" t="s">
        <v>6</v>
      </c>
      <c r="D517" s="10">
        <v>4</v>
      </c>
      <c r="E517" s="8" t="s">
        <v>7</v>
      </c>
      <c r="F517" s="12">
        <f>ROUND(C12*530,0)</f>
        <v>5565</v>
      </c>
      <c r="G517" s="36"/>
      <c r="H517" s="17"/>
    </row>
    <row r="518" spans="2:8" s="1" customFormat="1" ht="14.25" thickBot="1" x14ac:dyDescent="0.2">
      <c r="B518" s="34"/>
      <c r="C518" s="18" t="s">
        <v>16</v>
      </c>
      <c r="D518" s="19" t="s">
        <v>416</v>
      </c>
      <c r="E518" s="20" t="s">
        <v>17</v>
      </c>
      <c r="F518" s="21" t="s">
        <v>48</v>
      </c>
      <c r="G518" s="22" t="s">
        <v>20</v>
      </c>
      <c r="H518" s="23" t="s">
        <v>37</v>
      </c>
    </row>
    <row r="519" spans="2:8" s="1" customFormat="1" x14ac:dyDescent="0.15">
      <c r="B519" s="13" t="s">
        <v>1</v>
      </c>
      <c r="C519" s="14" t="s">
        <v>0</v>
      </c>
      <c r="D519" s="29" t="s">
        <v>240</v>
      </c>
      <c r="E519" s="30"/>
      <c r="F519" s="31"/>
      <c r="G519" s="15" t="s">
        <v>57</v>
      </c>
      <c r="H519" s="16" t="s">
        <v>53</v>
      </c>
    </row>
    <row r="520" spans="2:8" s="1" customFormat="1" x14ac:dyDescent="0.15">
      <c r="B520" s="32">
        <v>300102</v>
      </c>
      <c r="C520" s="2" t="s">
        <v>2</v>
      </c>
      <c r="D520" s="9">
        <f>ROUND(C12*680,0)</f>
        <v>7140</v>
      </c>
      <c r="E520" s="3" t="s">
        <v>3</v>
      </c>
      <c r="F520" s="11">
        <f>ROUND(C12*880,0)</f>
        <v>9240</v>
      </c>
      <c r="G520" s="4" t="s">
        <v>8</v>
      </c>
      <c r="H520" s="17" t="s">
        <v>394</v>
      </c>
    </row>
    <row r="521" spans="2:8" s="1" customFormat="1" ht="13.5" customHeight="1" x14ac:dyDescent="0.15">
      <c r="B521" s="33"/>
      <c r="C521" s="5" t="s">
        <v>4</v>
      </c>
      <c r="D521" s="9">
        <f>ROUND(C12*880,0)</f>
        <v>9240</v>
      </c>
      <c r="E521" s="6" t="s">
        <v>5</v>
      </c>
      <c r="F521" s="11">
        <f>ROUND(C12*476,0)</f>
        <v>4998</v>
      </c>
      <c r="G521" s="35">
        <v>30</v>
      </c>
      <c r="H521" s="17"/>
    </row>
    <row r="522" spans="2:8" s="1" customFormat="1" ht="13.5" customHeight="1" x14ac:dyDescent="0.15">
      <c r="B522" s="33"/>
      <c r="C522" s="7" t="s">
        <v>6</v>
      </c>
      <c r="D522" s="10">
        <v>7</v>
      </c>
      <c r="E522" s="8" t="s">
        <v>7</v>
      </c>
      <c r="F522" s="12">
        <f>ROUND(C12*480,0)</f>
        <v>5040</v>
      </c>
      <c r="G522" s="36"/>
      <c r="H522" s="17"/>
    </row>
    <row r="523" spans="2:8" s="1" customFormat="1" ht="14.25" thickBot="1" x14ac:dyDescent="0.2">
      <c r="B523" s="34"/>
      <c r="C523" s="18" t="s">
        <v>16</v>
      </c>
      <c r="D523" s="19" t="s">
        <v>42</v>
      </c>
      <c r="E523" s="20" t="s">
        <v>17</v>
      </c>
      <c r="F523" s="21" t="s">
        <v>52</v>
      </c>
      <c r="G523" s="22" t="s">
        <v>20</v>
      </c>
      <c r="H523" s="23" t="s">
        <v>34</v>
      </c>
    </row>
    <row r="524" spans="2:8" s="1" customFormat="1" x14ac:dyDescent="0.15">
      <c r="B524" s="13" t="s">
        <v>1</v>
      </c>
      <c r="C524" s="14" t="s">
        <v>0</v>
      </c>
      <c r="D524" s="29" t="s">
        <v>241</v>
      </c>
      <c r="E524" s="30"/>
      <c r="F524" s="31"/>
      <c r="G524" s="15" t="s">
        <v>57</v>
      </c>
      <c r="H524" s="16" t="s">
        <v>35</v>
      </c>
    </row>
    <row r="525" spans="2:8" s="1" customFormat="1" x14ac:dyDescent="0.15">
      <c r="B525" s="32">
        <v>300103</v>
      </c>
      <c r="C525" s="2" t="s">
        <v>2</v>
      </c>
      <c r="D525" s="9">
        <f>ROUND(C12*680,0)</f>
        <v>7140</v>
      </c>
      <c r="E525" s="3" t="s">
        <v>3</v>
      </c>
      <c r="F525" s="11">
        <f>ROUND(C12*880,0)</f>
        <v>9240</v>
      </c>
      <c r="G525" s="4" t="s">
        <v>8</v>
      </c>
      <c r="H525" s="17" t="s">
        <v>23</v>
      </c>
    </row>
    <row r="526" spans="2:8" s="1" customFormat="1" ht="13.5" customHeight="1" x14ac:dyDescent="0.15">
      <c r="B526" s="33"/>
      <c r="C526" s="5" t="s">
        <v>4</v>
      </c>
      <c r="D526" s="9">
        <f>ROUND(C12*880,0)</f>
        <v>9240</v>
      </c>
      <c r="E526" s="6" t="s">
        <v>5</v>
      </c>
      <c r="F526" s="11">
        <f>ROUND(C12*476,0)</f>
        <v>4998</v>
      </c>
      <c r="G526" s="35">
        <v>100</v>
      </c>
      <c r="H526" s="17"/>
    </row>
    <row r="527" spans="2:8" s="1" customFormat="1" ht="13.5" customHeight="1" x14ac:dyDescent="0.15">
      <c r="B527" s="33"/>
      <c r="C527" s="7" t="s">
        <v>6</v>
      </c>
      <c r="D527" s="10">
        <v>7</v>
      </c>
      <c r="E527" s="8" t="s">
        <v>7</v>
      </c>
      <c r="F527" s="12">
        <f>ROUND(C12*480,0)</f>
        <v>5040</v>
      </c>
      <c r="G527" s="36"/>
      <c r="H527" s="17"/>
    </row>
    <row r="528" spans="2:8" s="1" customFormat="1" ht="14.25" thickBot="1" x14ac:dyDescent="0.2">
      <c r="B528" s="34"/>
      <c r="C528" s="18" t="s">
        <v>16</v>
      </c>
      <c r="D528" s="19" t="s">
        <v>427</v>
      </c>
      <c r="E528" s="20" t="s">
        <v>17</v>
      </c>
      <c r="F528" s="21" t="s">
        <v>100</v>
      </c>
      <c r="G528" s="22" t="s">
        <v>20</v>
      </c>
      <c r="H528" s="23" t="s">
        <v>37</v>
      </c>
    </row>
    <row r="529" spans="2:8" s="1" customFormat="1" x14ac:dyDescent="0.15">
      <c r="B529" s="13" t="s">
        <v>1</v>
      </c>
      <c r="C529" s="14" t="s">
        <v>0</v>
      </c>
      <c r="D529" s="29" t="s">
        <v>242</v>
      </c>
      <c r="E529" s="30"/>
      <c r="F529" s="31"/>
      <c r="G529" s="15" t="s">
        <v>57</v>
      </c>
      <c r="H529" s="16" t="s">
        <v>41</v>
      </c>
    </row>
    <row r="530" spans="2:8" s="1" customFormat="1" x14ac:dyDescent="0.15">
      <c r="B530" s="32">
        <v>300104</v>
      </c>
      <c r="C530" s="2" t="s">
        <v>2</v>
      </c>
      <c r="D530" s="9">
        <f>ROUND(C12*680,0)</f>
        <v>7140</v>
      </c>
      <c r="E530" s="3" t="s">
        <v>3</v>
      </c>
      <c r="F530" s="11">
        <f>ROUND(C12*1936,0)</f>
        <v>20328</v>
      </c>
      <c r="G530" s="4" t="s">
        <v>8</v>
      </c>
      <c r="H530" s="17" t="s">
        <v>25</v>
      </c>
    </row>
    <row r="531" spans="2:8" s="1" customFormat="1" ht="13.5" customHeight="1" x14ac:dyDescent="0.15">
      <c r="B531" s="33"/>
      <c r="C531" s="5" t="s">
        <v>4</v>
      </c>
      <c r="D531" s="9">
        <f>ROUND(C12*880,0)</f>
        <v>9240</v>
      </c>
      <c r="E531" s="6" t="s">
        <v>5</v>
      </c>
      <c r="F531" s="11">
        <f>ROUND(C12*980,0)</f>
        <v>10290</v>
      </c>
      <c r="G531" s="35">
        <v>100</v>
      </c>
      <c r="H531" s="17"/>
    </row>
    <row r="532" spans="2:8" s="1" customFormat="1" ht="13.5" customHeight="1" x14ac:dyDescent="0.15">
      <c r="B532" s="33"/>
      <c r="C532" s="7" t="s">
        <v>6</v>
      </c>
      <c r="D532" s="10">
        <v>4</v>
      </c>
      <c r="E532" s="8" t="s">
        <v>7</v>
      </c>
      <c r="F532" s="12">
        <f>ROUND(C12*530,0)</f>
        <v>5565</v>
      </c>
      <c r="G532" s="36"/>
      <c r="H532" s="17"/>
    </row>
    <row r="533" spans="2:8" s="1" customFormat="1" ht="14.25" thickBot="1" x14ac:dyDescent="0.2">
      <c r="B533" s="34"/>
      <c r="C533" s="18" t="s">
        <v>16</v>
      </c>
      <c r="D533" s="19" t="s">
        <v>216</v>
      </c>
      <c r="E533" s="20" t="s">
        <v>17</v>
      </c>
      <c r="F533" s="21" t="s">
        <v>257</v>
      </c>
      <c r="G533" s="22" t="s">
        <v>20</v>
      </c>
      <c r="H533" s="23" t="s">
        <v>37</v>
      </c>
    </row>
    <row r="534" spans="2:8" s="1" customFormat="1" x14ac:dyDescent="0.15">
      <c r="B534" s="13" t="s">
        <v>1</v>
      </c>
      <c r="C534" s="14" t="s">
        <v>0</v>
      </c>
      <c r="D534" s="29" t="s">
        <v>245</v>
      </c>
      <c r="E534" s="30"/>
      <c r="F534" s="31"/>
      <c r="G534" s="15" t="s">
        <v>57</v>
      </c>
      <c r="H534" s="16" t="s">
        <v>128</v>
      </c>
    </row>
    <row r="535" spans="2:8" s="1" customFormat="1" x14ac:dyDescent="0.15">
      <c r="B535" s="32">
        <v>300105</v>
      </c>
      <c r="C535" s="2" t="s">
        <v>2</v>
      </c>
      <c r="D535" s="9">
        <f>ROUND(C12*680,0)</f>
        <v>7140</v>
      </c>
      <c r="E535" s="3" t="s">
        <v>3</v>
      </c>
      <c r="F535" s="11">
        <f>ROUND(C12*880,0)</f>
        <v>9240</v>
      </c>
      <c r="G535" s="4" t="s">
        <v>8</v>
      </c>
      <c r="H535" s="17" t="s">
        <v>129</v>
      </c>
    </row>
    <row r="536" spans="2:8" s="1" customFormat="1" ht="13.5" customHeight="1" x14ac:dyDescent="0.15">
      <c r="B536" s="33"/>
      <c r="C536" s="5" t="s">
        <v>4</v>
      </c>
      <c r="D536" s="9">
        <f>ROUND(C12*880,0)</f>
        <v>9240</v>
      </c>
      <c r="E536" s="6" t="s">
        <v>5</v>
      </c>
      <c r="F536" s="11">
        <f>ROUND(C12*476,0)</f>
        <v>4998</v>
      </c>
      <c r="G536" s="35">
        <v>100</v>
      </c>
      <c r="H536" s="17"/>
    </row>
    <row r="537" spans="2:8" s="1" customFormat="1" ht="13.5" customHeight="1" x14ac:dyDescent="0.15">
      <c r="B537" s="33"/>
      <c r="C537" s="7" t="s">
        <v>6</v>
      </c>
      <c r="D537" s="10">
        <v>7</v>
      </c>
      <c r="E537" s="8" t="s">
        <v>7</v>
      </c>
      <c r="F537" s="12">
        <f>ROUND(C12*530,0)</f>
        <v>5565</v>
      </c>
      <c r="G537" s="36"/>
      <c r="H537" s="17"/>
    </row>
    <row r="538" spans="2:8" s="1" customFormat="1" ht="14.25" thickBot="1" x14ac:dyDescent="0.2">
      <c r="B538" s="34"/>
      <c r="C538" s="18" t="s">
        <v>16</v>
      </c>
      <c r="D538" s="19" t="s">
        <v>428</v>
      </c>
      <c r="E538" s="20" t="s">
        <v>17</v>
      </c>
      <c r="F538" s="21" t="s">
        <v>36</v>
      </c>
      <c r="G538" s="22" t="s">
        <v>20</v>
      </c>
      <c r="H538" s="23" t="s">
        <v>37</v>
      </c>
    </row>
    <row r="539" spans="2:8" s="1" customFormat="1" x14ac:dyDescent="0.15">
      <c r="B539" s="13" t="s">
        <v>1</v>
      </c>
      <c r="C539" s="14" t="s">
        <v>0</v>
      </c>
      <c r="D539" s="29" t="s">
        <v>246</v>
      </c>
      <c r="E539" s="30"/>
      <c r="F539" s="31"/>
      <c r="G539" s="15" t="s">
        <v>57</v>
      </c>
      <c r="H539" s="16" t="s">
        <v>131</v>
      </c>
    </row>
    <row r="540" spans="2:8" s="1" customFormat="1" x14ac:dyDescent="0.15">
      <c r="B540" s="32">
        <v>300106</v>
      </c>
      <c r="C540" s="2" t="s">
        <v>2</v>
      </c>
      <c r="D540" s="9">
        <f>ROUND(C12*680,0)</f>
        <v>7140</v>
      </c>
      <c r="E540" s="3" t="s">
        <v>3</v>
      </c>
      <c r="F540" s="11">
        <f>ROUND(C12*1936,0)</f>
        <v>20328</v>
      </c>
      <c r="G540" s="4" t="s">
        <v>8</v>
      </c>
      <c r="H540" s="17" t="s">
        <v>132</v>
      </c>
    </row>
    <row r="541" spans="2:8" s="1" customFormat="1" ht="13.5" customHeight="1" x14ac:dyDescent="0.15">
      <c r="B541" s="33"/>
      <c r="C541" s="5" t="s">
        <v>4</v>
      </c>
      <c r="D541" s="9">
        <f>ROUND(C12*880,0)</f>
        <v>9240</v>
      </c>
      <c r="E541" s="6" t="s">
        <v>5</v>
      </c>
      <c r="F541" s="11">
        <f>ROUND(C12*980,0)</f>
        <v>10290</v>
      </c>
      <c r="G541" s="35">
        <v>100</v>
      </c>
      <c r="H541" s="17"/>
    </row>
    <row r="542" spans="2:8" s="1" customFormat="1" ht="13.5" customHeight="1" x14ac:dyDescent="0.15">
      <c r="B542" s="33"/>
      <c r="C542" s="7" t="s">
        <v>6</v>
      </c>
      <c r="D542" s="10">
        <v>4</v>
      </c>
      <c r="E542" s="8" t="s">
        <v>7</v>
      </c>
      <c r="F542" s="12">
        <f>ROUND(C12*530,0)</f>
        <v>5565</v>
      </c>
      <c r="G542" s="36"/>
      <c r="H542" s="17"/>
    </row>
    <row r="543" spans="2:8" s="1" customFormat="1" ht="14.25" thickBot="1" x14ac:dyDescent="0.2">
      <c r="B543" s="34"/>
      <c r="C543" s="18" t="s">
        <v>16</v>
      </c>
      <c r="D543" s="19" t="s">
        <v>402</v>
      </c>
      <c r="E543" s="20" t="s">
        <v>17</v>
      </c>
      <c r="F543" s="21" t="s">
        <v>85</v>
      </c>
      <c r="G543" s="22" t="s">
        <v>20</v>
      </c>
      <c r="H543" s="23" t="s">
        <v>37</v>
      </c>
    </row>
    <row r="544" spans="2:8" s="1" customFormat="1" x14ac:dyDescent="0.15">
      <c r="B544" s="13" t="s">
        <v>1</v>
      </c>
      <c r="C544" s="14" t="s">
        <v>0</v>
      </c>
      <c r="D544" s="29" t="s">
        <v>247</v>
      </c>
      <c r="E544" s="30"/>
      <c r="F544" s="31"/>
      <c r="G544" s="15" t="s">
        <v>57</v>
      </c>
      <c r="H544" s="16" t="s">
        <v>84</v>
      </c>
    </row>
    <row r="545" spans="2:8" s="1" customFormat="1" x14ac:dyDescent="0.15">
      <c r="B545" s="32">
        <v>300107</v>
      </c>
      <c r="C545" s="2" t="s">
        <v>2</v>
      </c>
      <c r="D545" s="9">
        <f>ROUND(C12*680,0)</f>
        <v>7140</v>
      </c>
      <c r="E545" s="3" t="s">
        <v>3</v>
      </c>
      <c r="F545" s="11">
        <f>ROUND(C12*880,0)</f>
        <v>9240</v>
      </c>
      <c r="G545" s="4" t="s">
        <v>8</v>
      </c>
      <c r="H545" s="17" t="s">
        <v>398</v>
      </c>
    </row>
    <row r="546" spans="2:8" s="1" customFormat="1" ht="13.5" customHeight="1" x14ac:dyDescent="0.15">
      <c r="B546" s="33"/>
      <c r="C546" s="5" t="s">
        <v>4</v>
      </c>
      <c r="D546" s="9">
        <f>ROUND(C12*880,0)</f>
        <v>9240</v>
      </c>
      <c r="E546" s="6" t="s">
        <v>5</v>
      </c>
      <c r="F546" s="11">
        <f>ROUND(C12*476,0)</f>
        <v>4998</v>
      </c>
      <c r="G546" s="35">
        <v>50</v>
      </c>
      <c r="H546" s="17"/>
    </row>
    <row r="547" spans="2:8" s="1" customFormat="1" ht="13.5" customHeight="1" x14ac:dyDescent="0.15">
      <c r="B547" s="33"/>
      <c r="C547" s="7" t="s">
        <v>6</v>
      </c>
      <c r="D547" s="10">
        <v>7</v>
      </c>
      <c r="E547" s="8" t="s">
        <v>7</v>
      </c>
      <c r="F547" s="12">
        <f>ROUND(C12*480,0)</f>
        <v>5040</v>
      </c>
      <c r="G547" s="36"/>
      <c r="H547" s="17"/>
    </row>
    <row r="548" spans="2:8" s="1" customFormat="1" ht="14.25" thickBot="1" x14ac:dyDescent="0.2">
      <c r="B548" s="34"/>
      <c r="C548" s="18" t="s">
        <v>16</v>
      </c>
      <c r="D548" s="19" t="s">
        <v>391</v>
      </c>
      <c r="E548" s="20" t="s">
        <v>17</v>
      </c>
      <c r="F548" s="21" t="s">
        <v>49</v>
      </c>
      <c r="G548" s="22" t="s">
        <v>20</v>
      </c>
      <c r="H548" s="23" t="s">
        <v>121</v>
      </c>
    </row>
    <row r="549" spans="2:8" s="1" customFormat="1" x14ac:dyDescent="0.15">
      <c r="B549" s="13" t="s">
        <v>1</v>
      </c>
      <c r="C549" s="14" t="s">
        <v>0</v>
      </c>
      <c r="D549" s="29" t="s">
        <v>248</v>
      </c>
      <c r="E549" s="30"/>
      <c r="F549" s="31"/>
      <c r="G549" s="15" t="s">
        <v>57</v>
      </c>
      <c r="H549" s="16" t="s">
        <v>55</v>
      </c>
    </row>
    <row r="550" spans="2:8" s="1" customFormat="1" x14ac:dyDescent="0.15">
      <c r="B550" s="32">
        <v>300108</v>
      </c>
      <c r="C550" s="2" t="s">
        <v>2</v>
      </c>
      <c r="D550" s="9">
        <f>ROUND(C12*680,0)</f>
        <v>7140</v>
      </c>
      <c r="E550" s="3" t="s">
        <v>3</v>
      </c>
      <c r="F550" s="11">
        <f>ROUND(C12*880,0)</f>
        <v>9240</v>
      </c>
      <c r="G550" s="4" t="s">
        <v>8</v>
      </c>
      <c r="H550" s="17" t="s">
        <v>30</v>
      </c>
    </row>
    <row r="551" spans="2:8" s="1" customFormat="1" ht="13.5" customHeight="1" x14ac:dyDescent="0.15">
      <c r="B551" s="33"/>
      <c r="C551" s="5" t="s">
        <v>4</v>
      </c>
      <c r="D551" s="9">
        <f>ROUND(C12*880,0)</f>
        <v>9240</v>
      </c>
      <c r="E551" s="6" t="s">
        <v>5</v>
      </c>
      <c r="F551" s="11">
        <f>ROUND(C12*476,0)</f>
        <v>4998</v>
      </c>
      <c r="G551" s="35">
        <v>100</v>
      </c>
      <c r="H551" s="17"/>
    </row>
    <row r="552" spans="2:8" s="1" customFormat="1" ht="13.5" customHeight="1" x14ac:dyDescent="0.15">
      <c r="B552" s="33"/>
      <c r="C552" s="7" t="s">
        <v>6</v>
      </c>
      <c r="D552" s="10">
        <v>7</v>
      </c>
      <c r="E552" s="8" t="s">
        <v>7</v>
      </c>
      <c r="F552" s="12">
        <f>ROUND(C12*480,0)</f>
        <v>5040</v>
      </c>
      <c r="G552" s="36"/>
      <c r="H552" s="17"/>
    </row>
    <row r="553" spans="2:8" s="1" customFormat="1" ht="14.25" thickBot="1" x14ac:dyDescent="0.2">
      <c r="B553" s="34"/>
      <c r="C553" s="18" t="s">
        <v>16</v>
      </c>
      <c r="D553" s="19" t="s">
        <v>428</v>
      </c>
      <c r="E553" s="20" t="s">
        <v>17</v>
      </c>
      <c r="F553" s="21" t="s">
        <v>36</v>
      </c>
      <c r="G553" s="22" t="s">
        <v>20</v>
      </c>
      <c r="H553" s="23" t="s">
        <v>37</v>
      </c>
    </row>
    <row r="554" spans="2:8" s="1" customFormat="1" x14ac:dyDescent="0.15">
      <c r="B554" s="13" t="s">
        <v>1</v>
      </c>
      <c r="C554" s="14" t="s">
        <v>0</v>
      </c>
      <c r="D554" s="29" t="s">
        <v>249</v>
      </c>
      <c r="E554" s="30"/>
      <c r="F554" s="31"/>
      <c r="G554" s="15" t="s">
        <v>57</v>
      </c>
      <c r="H554" s="16" t="s">
        <v>80</v>
      </c>
    </row>
    <row r="555" spans="2:8" s="1" customFormat="1" x14ac:dyDescent="0.15">
      <c r="B555" s="32">
        <v>300109</v>
      </c>
      <c r="C555" s="2" t="s">
        <v>2</v>
      </c>
      <c r="D555" s="9">
        <f>ROUND(C12*680,0)</f>
        <v>7140</v>
      </c>
      <c r="E555" s="3" t="s">
        <v>3</v>
      </c>
      <c r="F555" s="11">
        <f>ROUND(C12*1936,0)</f>
        <v>20328</v>
      </c>
      <c r="G555" s="4" t="s">
        <v>8</v>
      </c>
      <c r="H555" s="17" t="s">
        <v>81</v>
      </c>
    </row>
    <row r="556" spans="2:8" s="1" customFormat="1" ht="13.5" customHeight="1" x14ac:dyDescent="0.15">
      <c r="B556" s="33"/>
      <c r="C556" s="5" t="s">
        <v>4</v>
      </c>
      <c r="D556" s="9">
        <f>ROUND(C12*880,0)</f>
        <v>9240</v>
      </c>
      <c r="E556" s="6" t="s">
        <v>5</v>
      </c>
      <c r="F556" s="11">
        <f>ROUND(C12*980,0)</f>
        <v>10290</v>
      </c>
      <c r="G556" s="35">
        <v>100</v>
      </c>
      <c r="H556" s="17"/>
    </row>
    <row r="557" spans="2:8" s="1" customFormat="1" ht="13.5" customHeight="1" x14ac:dyDescent="0.15">
      <c r="B557" s="33"/>
      <c r="C557" s="7" t="s">
        <v>6</v>
      </c>
      <c r="D557" s="10">
        <v>4</v>
      </c>
      <c r="E557" s="8" t="s">
        <v>7</v>
      </c>
      <c r="F557" s="12">
        <f>ROUND(C12*530,0)</f>
        <v>5565</v>
      </c>
      <c r="G557" s="36"/>
      <c r="H557" s="17"/>
    </row>
    <row r="558" spans="2:8" s="1" customFormat="1" ht="14.25" thickBot="1" x14ac:dyDescent="0.2">
      <c r="B558" s="34"/>
      <c r="C558" s="18" t="s">
        <v>16</v>
      </c>
      <c r="D558" s="19" t="s">
        <v>429</v>
      </c>
      <c r="E558" s="20" t="s">
        <v>17</v>
      </c>
      <c r="F558" s="21" t="s">
        <v>396</v>
      </c>
      <c r="G558" s="22" t="s">
        <v>20</v>
      </c>
      <c r="H558" s="23" t="s">
        <v>37</v>
      </c>
    </row>
    <row r="559" spans="2:8" s="1" customFormat="1" x14ac:dyDescent="0.15">
      <c r="B559" s="13" t="s">
        <v>1</v>
      </c>
      <c r="C559" s="14" t="s">
        <v>0</v>
      </c>
      <c r="D559" s="29" t="s">
        <v>250</v>
      </c>
      <c r="E559" s="30"/>
      <c r="F559" s="31"/>
      <c r="G559" s="15" t="s">
        <v>57</v>
      </c>
      <c r="H559" s="16" t="s">
        <v>146</v>
      </c>
    </row>
    <row r="560" spans="2:8" s="1" customFormat="1" x14ac:dyDescent="0.15">
      <c r="B560" s="32">
        <v>300110</v>
      </c>
      <c r="C560" s="2" t="s">
        <v>2</v>
      </c>
      <c r="D560" s="9">
        <f>ROUND(C12*680,0)</f>
        <v>7140</v>
      </c>
      <c r="E560" s="3" t="s">
        <v>3</v>
      </c>
      <c r="F560" s="11">
        <f>ROUND(C12*880,0)</f>
        <v>9240</v>
      </c>
      <c r="G560" s="4" t="s">
        <v>8</v>
      </c>
      <c r="H560" s="17" t="s">
        <v>147</v>
      </c>
    </row>
    <row r="561" spans="2:8" s="1" customFormat="1" ht="13.5" customHeight="1" x14ac:dyDescent="0.15">
      <c r="B561" s="33"/>
      <c r="C561" s="5" t="s">
        <v>4</v>
      </c>
      <c r="D561" s="9">
        <f>ROUND(C12*880,0)</f>
        <v>9240</v>
      </c>
      <c r="E561" s="6" t="s">
        <v>5</v>
      </c>
      <c r="F561" s="11">
        <f>ROUND(C12*476,0)</f>
        <v>4998</v>
      </c>
      <c r="G561" s="35">
        <v>100</v>
      </c>
      <c r="H561" s="17"/>
    </row>
    <row r="562" spans="2:8" s="1" customFormat="1" ht="13.5" customHeight="1" x14ac:dyDescent="0.15">
      <c r="B562" s="33"/>
      <c r="C562" s="7" t="s">
        <v>6</v>
      </c>
      <c r="D562" s="10">
        <v>7</v>
      </c>
      <c r="E562" s="8" t="s">
        <v>7</v>
      </c>
      <c r="F562" s="12">
        <f>ROUND(C12*530,0)</f>
        <v>5565</v>
      </c>
      <c r="G562" s="36"/>
      <c r="H562" s="17"/>
    </row>
    <row r="563" spans="2:8" s="1" customFormat="1" ht="14.25" thickBot="1" x14ac:dyDescent="0.2">
      <c r="B563" s="34"/>
      <c r="C563" s="18" t="s">
        <v>16</v>
      </c>
      <c r="D563" s="19" t="s">
        <v>414</v>
      </c>
      <c r="E563" s="20" t="s">
        <v>17</v>
      </c>
      <c r="F563" s="21" t="s">
        <v>430</v>
      </c>
      <c r="G563" s="22" t="s">
        <v>20</v>
      </c>
      <c r="H563" s="23" t="s">
        <v>37</v>
      </c>
    </row>
    <row r="564" spans="2:8" s="1" customFormat="1" x14ac:dyDescent="0.15">
      <c r="B564" s="13" t="s">
        <v>1</v>
      </c>
      <c r="C564" s="14" t="s">
        <v>0</v>
      </c>
      <c r="D564" s="29" t="s">
        <v>251</v>
      </c>
      <c r="E564" s="30"/>
      <c r="F564" s="31"/>
      <c r="G564" s="15" t="s">
        <v>57</v>
      </c>
      <c r="H564" s="16" t="s">
        <v>44</v>
      </c>
    </row>
    <row r="565" spans="2:8" s="1" customFormat="1" x14ac:dyDescent="0.15">
      <c r="B565" s="32">
        <v>300111</v>
      </c>
      <c r="C565" s="2" t="s">
        <v>2</v>
      </c>
      <c r="D565" s="9">
        <f>ROUND(C12*680,0)</f>
        <v>7140</v>
      </c>
      <c r="E565" s="3" t="s">
        <v>3</v>
      </c>
      <c r="F565" s="11">
        <f>ROUND(C12*1936,0)</f>
        <v>20328</v>
      </c>
      <c r="G565" s="4" t="s">
        <v>8</v>
      </c>
      <c r="H565" s="17" t="s">
        <v>26</v>
      </c>
    </row>
    <row r="566" spans="2:8" s="1" customFormat="1" ht="13.5" customHeight="1" x14ac:dyDescent="0.15">
      <c r="B566" s="33"/>
      <c r="C566" s="5" t="s">
        <v>4</v>
      </c>
      <c r="D566" s="9">
        <f>ROUND(C12*880,0)</f>
        <v>9240</v>
      </c>
      <c r="E566" s="6" t="s">
        <v>5</v>
      </c>
      <c r="F566" s="11">
        <f>ROUND(C12*980,0)</f>
        <v>10290</v>
      </c>
      <c r="G566" s="35">
        <v>100</v>
      </c>
      <c r="H566" s="17"/>
    </row>
    <row r="567" spans="2:8" s="1" customFormat="1" ht="13.5" customHeight="1" x14ac:dyDescent="0.15">
      <c r="B567" s="33"/>
      <c r="C567" s="7" t="s">
        <v>6</v>
      </c>
      <c r="D567" s="10">
        <v>4</v>
      </c>
      <c r="E567" s="8" t="s">
        <v>7</v>
      </c>
      <c r="F567" s="12">
        <f>ROUND(C12*530,0)</f>
        <v>5565</v>
      </c>
      <c r="G567" s="36"/>
      <c r="H567" s="17"/>
    </row>
    <row r="568" spans="2:8" s="1" customFormat="1" ht="14.25" thickBot="1" x14ac:dyDescent="0.2">
      <c r="B568" s="34"/>
      <c r="C568" s="18" t="s">
        <v>16</v>
      </c>
      <c r="D568" s="19" t="s">
        <v>380</v>
      </c>
      <c r="E568" s="20" t="s">
        <v>17</v>
      </c>
      <c r="F568" s="21" t="s">
        <v>392</v>
      </c>
      <c r="G568" s="22" t="s">
        <v>20</v>
      </c>
      <c r="H568" s="23" t="s">
        <v>37</v>
      </c>
    </row>
    <row r="569" spans="2:8" s="1" customFormat="1" x14ac:dyDescent="0.15">
      <c r="B569" s="13" t="s">
        <v>1</v>
      </c>
      <c r="C569" s="14" t="s">
        <v>0</v>
      </c>
      <c r="D569" s="29" t="s">
        <v>252</v>
      </c>
      <c r="E569" s="30"/>
      <c r="F569" s="31"/>
      <c r="G569" s="15" t="s">
        <v>57</v>
      </c>
      <c r="H569" s="16" t="s">
        <v>88</v>
      </c>
    </row>
    <row r="570" spans="2:8" s="1" customFormat="1" x14ac:dyDescent="0.15">
      <c r="B570" s="32">
        <v>300112</v>
      </c>
      <c r="C570" s="2" t="s">
        <v>2</v>
      </c>
      <c r="D570" s="9">
        <f>ROUND(C12*680,0)</f>
        <v>7140</v>
      </c>
      <c r="E570" s="3" t="s">
        <v>3</v>
      </c>
      <c r="F570" s="11">
        <f>ROUND(C12*880,0)</f>
        <v>9240</v>
      </c>
      <c r="G570" s="4" t="s">
        <v>8</v>
      </c>
      <c r="H570" s="17" t="s">
        <v>89</v>
      </c>
    </row>
    <row r="571" spans="2:8" s="1" customFormat="1" ht="13.5" customHeight="1" x14ac:dyDescent="0.15">
      <c r="B571" s="33"/>
      <c r="C571" s="5" t="s">
        <v>4</v>
      </c>
      <c r="D571" s="9">
        <f>ROUND(C12*880,0)</f>
        <v>9240</v>
      </c>
      <c r="E571" s="6" t="s">
        <v>5</v>
      </c>
      <c r="F571" s="11">
        <f>ROUND(C12*476,0)</f>
        <v>4998</v>
      </c>
      <c r="G571" s="35">
        <v>50</v>
      </c>
      <c r="H571" s="17"/>
    </row>
    <row r="572" spans="2:8" s="1" customFormat="1" ht="13.5" customHeight="1" x14ac:dyDescent="0.15">
      <c r="B572" s="33"/>
      <c r="C572" s="7" t="s">
        <v>6</v>
      </c>
      <c r="D572" s="10">
        <v>7</v>
      </c>
      <c r="E572" s="8" t="s">
        <v>7</v>
      </c>
      <c r="F572" s="12">
        <f>ROUND(C12*480,0)</f>
        <v>5040</v>
      </c>
      <c r="G572" s="36"/>
      <c r="H572" s="17"/>
    </row>
    <row r="573" spans="2:8" s="1" customFormat="1" ht="14.25" thickBot="1" x14ac:dyDescent="0.2">
      <c r="B573" s="34"/>
      <c r="C573" s="18" t="s">
        <v>16</v>
      </c>
      <c r="D573" s="19" t="s">
        <v>355</v>
      </c>
      <c r="E573" s="20" t="s">
        <v>17</v>
      </c>
      <c r="F573" s="21" t="s">
        <v>293</v>
      </c>
      <c r="G573" s="22" t="s">
        <v>20</v>
      </c>
      <c r="H573" s="23" t="s">
        <v>37</v>
      </c>
    </row>
    <row r="574" spans="2:8" s="1" customFormat="1" x14ac:dyDescent="0.15">
      <c r="B574" s="13" t="s">
        <v>1</v>
      </c>
      <c r="C574" s="14" t="s">
        <v>0</v>
      </c>
      <c r="D574" s="29" t="s">
        <v>253</v>
      </c>
      <c r="E574" s="30"/>
      <c r="F574" s="31"/>
      <c r="G574" s="15" t="s">
        <v>57</v>
      </c>
      <c r="H574" s="16" t="s">
        <v>35</v>
      </c>
    </row>
    <row r="575" spans="2:8" s="1" customFormat="1" x14ac:dyDescent="0.15">
      <c r="B575" s="32">
        <v>300113</v>
      </c>
      <c r="C575" s="2" t="s">
        <v>2</v>
      </c>
      <c r="D575" s="9">
        <f>ROUND(C12*680,0)</f>
        <v>7140</v>
      </c>
      <c r="E575" s="3" t="s">
        <v>3</v>
      </c>
      <c r="F575" s="11">
        <f>ROUND(C12*880,0)</f>
        <v>9240</v>
      </c>
      <c r="G575" s="4" t="s">
        <v>8</v>
      </c>
      <c r="H575" s="17" t="s">
        <v>23</v>
      </c>
    </row>
    <row r="576" spans="2:8" s="1" customFormat="1" ht="13.5" customHeight="1" x14ac:dyDescent="0.15">
      <c r="B576" s="33"/>
      <c r="C576" s="5" t="s">
        <v>4</v>
      </c>
      <c r="D576" s="9">
        <f>ROUND(C12*880,0)</f>
        <v>9240</v>
      </c>
      <c r="E576" s="6" t="s">
        <v>5</v>
      </c>
      <c r="F576" s="11">
        <f>ROUND(C12*476,0)</f>
        <v>4998</v>
      </c>
      <c r="G576" s="35">
        <v>100</v>
      </c>
      <c r="H576" s="17"/>
    </row>
    <row r="577" spans="2:8" s="1" customFormat="1" ht="13.5" customHeight="1" x14ac:dyDescent="0.15">
      <c r="B577" s="33"/>
      <c r="C577" s="7" t="s">
        <v>6</v>
      </c>
      <c r="D577" s="10">
        <v>7</v>
      </c>
      <c r="E577" s="8" t="s">
        <v>7</v>
      </c>
      <c r="F577" s="12">
        <f>ROUND(C12*480,0)</f>
        <v>5040</v>
      </c>
      <c r="G577" s="36"/>
      <c r="H577" s="17"/>
    </row>
    <row r="578" spans="2:8" s="1" customFormat="1" ht="14.25" thickBot="1" x14ac:dyDescent="0.2">
      <c r="B578" s="34"/>
      <c r="C578" s="18" t="s">
        <v>16</v>
      </c>
      <c r="D578" s="19" t="s">
        <v>411</v>
      </c>
      <c r="E578" s="20" t="s">
        <v>17</v>
      </c>
      <c r="F578" s="21" t="s">
        <v>100</v>
      </c>
      <c r="G578" s="22" t="s">
        <v>20</v>
      </c>
      <c r="H578" s="23" t="s">
        <v>37</v>
      </c>
    </row>
    <row r="579" spans="2:8" s="1" customFormat="1" x14ac:dyDescent="0.15">
      <c r="B579" s="13" t="s">
        <v>1</v>
      </c>
      <c r="C579" s="14" t="s">
        <v>0</v>
      </c>
      <c r="D579" s="29" t="s">
        <v>254</v>
      </c>
      <c r="E579" s="30"/>
      <c r="F579" s="31"/>
      <c r="G579" s="15" t="s">
        <v>57</v>
      </c>
      <c r="H579" s="16" t="s">
        <v>41</v>
      </c>
    </row>
    <row r="580" spans="2:8" s="1" customFormat="1" x14ac:dyDescent="0.15">
      <c r="B580" s="32">
        <v>300114</v>
      </c>
      <c r="C580" s="2" t="s">
        <v>2</v>
      </c>
      <c r="D580" s="9">
        <f>ROUND(C12*680,0)</f>
        <v>7140</v>
      </c>
      <c r="E580" s="3" t="s">
        <v>3</v>
      </c>
      <c r="F580" s="11">
        <f>ROUND(C12*1936,0)</f>
        <v>20328</v>
      </c>
      <c r="G580" s="4" t="s">
        <v>8</v>
      </c>
      <c r="H580" s="17" t="s">
        <v>25</v>
      </c>
    </row>
    <row r="581" spans="2:8" s="1" customFormat="1" ht="13.5" customHeight="1" x14ac:dyDescent="0.15">
      <c r="B581" s="33"/>
      <c r="C581" s="5" t="s">
        <v>4</v>
      </c>
      <c r="D581" s="9">
        <f>ROUND(C12*880,0)</f>
        <v>9240</v>
      </c>
      <c r="E581" s="6" t="s">
        <v>5</v>
      </c>
      <c r="F581" s="11">
        <f>ROUND(C12*980,0)</f>
        <v>10290</v>
      </c>
      <c r="G581" s="35">
        <v>100</v>
      </c>
      <c r="H581" s="17"/>
    </row>
    <row r="582" spans="2:8" s="1" customFormat="1" ht="13.5" customHeight="1" x14ac:dyDescent="0.15">
      <c r="B582" s="33"/>
      <c r="C582" s="7" t="s">
        <v>6</v>
      </c>
      <c r="D582" s="10">
        <v>4</v>
      </c>
      <c r="E582" s="8" t="s">
        <v>7</v>
      </c>
      <c r="F582" s="12">
        <f>ROUND(C12*530,0)</f>
        <v>5565</v>
      </c>
      <c r="G582" s="36"/>
      <c r="H582" s="17"/>
    </row>
    <row r="583" spans="2:8" s="1" customFormat="1" ht="14.25" thickBot="1" x14ac:dyDescent="0.2">
      <c r="B583" s="34"/>
      <c r="C583" s="18" t="s">
        <v>16</v>
      </c>
      <c r="D583" s="19" t="s">
        <v>419</v>
      </c>
      <c r="E583" s="20" t="s">
        <v>17</v>
      </c>
      <c r="F583" s="21" t="s">
        <v>32</v>
      </c>
      <c r="G583" s="22" t="s">
        <v>20</v>
      </c>
      <c r="H583" s="23" t="s">
        <v>37</v>
      </c>
    </row>
    <row r="584" spans="2:8" s="1" customFormat="1" x14ac:dyDescent="0.15">
      <c r="B584" s="13" t="s">
        <v>1</v>
      </c>
      <c r="C584" s="14" t="s">
        <v>0</v>
      </c>
      <c r="D584" s="29" t="s">
        <v>255</v>
      </c>
      <c r="E584" s="30"/>
      <c r="F584" s="31"/>
      <c r="G584" s="15" t="s">
        <v>57</v>
      </c>
      <c r="H584" s="16" t="s">
        <v>74</v>
      </c>
    </row>
    <row r="585" spans="2:8" s="1" customFormat="1" x14ac:dyDescent="0.15">
      <c r="B585" s="32">
        <v>300115</v>
      </c>
      <c r="C585" s="2" t="s">
        <v>2</v>
      </c>
      <c r="D585" s="9">
        <f>ROUND(C12*680,0)</f>
        <v>7140</v>
      </c>
      <c r="E585" s="3" t="s">
        <v>3</v>
      </c>
      <c r="F585" s="11">
        <f>ROUND(C12*1936,0)</f>
        <v>20328</v>
      </c>
      <c r="G585" s="4" t="s">
        <v>8</v>
      </c>
      <c r="H585" s="17" t="s">
        <v>75</v>
      </c>
    </row>
    <row r="586" spans="2:8" s="1" customFormat="1" ht="13.5" customHeight="1" x14ac:dyDescent="0.15">
      <c r="B586" s="33"/>
      <c r="C586" s="5" t="s">
        <v>4</v>
      </c>
      <c r="D586" s="9">
        <f>ROUND(C12*880,0)</f>
        <v>9240</v>
      </c>
      <c r="E586" s="6" t="s">
        <v>5</v>
      </c>
      <c r="F586" s="11">
        <f>ROUND(C12*980,0)</f>
        <v>10290</v>
      </c>
      <c r="G586" s="35">
        <v>100</v>
      </c>
      <c r="H586" s="17"/>
    </row>
    <row r="587" spans="2:8" s="1" customFormat="1" ht="13.5" customHeight="1" x14ac:dyDescent="0.15">
      <c r="B587" s="33"/>
      <c r="C587" s="7" t="s">
        <v>6</v>
      </c>
      <c r="D587" s="10">
        <v>4</v>
      </c>
      <c r="E587" s="8" t="s">
        <v>7</v>
      </c>
      <c r="F587" s="12">
        <f>ROUND(C12*530,0)</f>
        <v>5565</v>
      </c>
      <c r="G587" s="36"/>
      <c r="H587" s="17"/>
    </row>
    <row r="588" spans="2:8" s="1" customFormat="1" ht="14.25" thickBot="1" x14ac:dyDescent="0.2">
      <c r="B588" s="34"/>
      <c r="C588" s="18" t="s">
        <v>16</v>
      </c>
      <c r="D588" s="19" t="s">
        <v>415</v>
      </c>
      <c r="E588" s="20" t="s">
        <v>17</v>
      </c>
      <c r="F588" s="21" t="s">
        <v>48</v>
      </c>
      <c r="G588" s="22" t="s">
        <v>20</v>
      </c>
      <c r="H588" s="23" t="s">
        <v>37</v>
      </c>
    </row>
    <row r="589" spans="2:8" s="1" customFormat="1" x14ac:dyDescent="0.15">
      <c r="B589" s="13" t="s">
        <v>1</v>
      </c>
      <c r="C589" s="14" t="s">
        <v>0</v>
      </c>
      <c r="D589" s="29" t="s">
        <v>256</v>
      </c>
      <c r="E589" s="30"/>
      <c r="F589" s="31"/>
      <c r="G589" s="15" t="s">
        <v>57</v>
      </c>
      <c r="H589" s="16" t="s">
        <v>55</v>
      </c>
    </row>
    <row r="590" spans="2:8" s="1" customFormat="1" x14ac:dyDescent="0.15">
      <c r="B590" s="32">
        <v>300116</v>
      </c>
      <c r="C590" s="2" t="s">
        <v>2</v>
      </c>
      <c r="D590" s="9">
        <f>ROUND(C12*680,0)</f>
        <v>7140</v>
      </c>
      <c r="E590" s="3" t="s">
        <v>3</v>
      </c>
      <c r="F590" s="11">
        <f>ROUND(C12*880,0)</f>
        <v>9240</v>
      </c>
      <c r="G590" s="4" t="s">
        <v>8</v>
      </c>
      <c r="H590" s="17" t="s">
        <v>30</v>
      </c>
    </row>
    <row r="591" spans="2:8" s="1" customFormat="1" ht="13.5" customHeight="1" x14ac:dyDescent="0.15">
      <c r="B591" s="33"/>
      <c r="C591" s="5" t="s">
        <v>4</v>
      </c>
      <c r="D591" s="9">
        <f>ROUND(C12*880,0)</f>
        <v>9240</v>
      </c>
      <c r="E591" s="6" t="s">
        <v>5</v>
      </c>
      <c r="F591" s="11">
        <f>ROUND(C12*476,0)</f>
        <v>4998</v>
      </c>
      <c r="G591" s="35">
        <v>100</v>
      </c>
      <c r="H591" s="17"/>
    </row>
    <row r="592" spans="2:8" s="1" customFormat="1" ht="13.5" customHeight="1" x14ac:dyDescent="0.15">
      <c r="B592" s="33"/>
      <c r="C592" s="7" t="s">
        <v>6</v>
      </c>
      <c r="D592" s="10">
        <v>7</v>
      </c>
      <c r="E592" s="8" t="s">
        <v>7</v>
      </c>
      <c r="F592" s="12">
        <f>ROUND(C12*480,0)</f>
        <v>5040</v>
      </c>
      <c r="G592" s="36"/>
      <c r="H592" s="17"/>
    </row>
    <row r="593" spans="2:8" s="1" customFormat="1" ht="14.25" thickBot="1" x14ac:dyDescent="0.2">
      <c r="B593" s="34"/>
      <c r="C593" s="18" t="s">
        <v>16</v>
      </c>
      <c r="D593" s="19" t="s">
        <v>407</v>
      </c>
      <c r="E593" s="20" t="s">
        <v>17</v>
      </c>
      <c r="F593" s="21" t="s">
        <v>396</v>
      </c>
      <c r="G593" s="22" t="s">
        <v>20</v>
      </c>
      <c r="H593" s="23" t="s">
        <v>37</v>
      </c>
    </row>
    <row r="594" spans="2:8" s="1" customFormat="1" x14ac:dyDescent="0.15">
      <c r="B594" s="13" t="s">
        <v>1</v>
      </c>
      <c r="C594" s="14" t="s">
        <v>0</v>
      </c>
      <c r="D594" s="29" t="s">
        <v>259</v>
      </c>
      <c r="E594" s="30"/>
      <c r="F594" s="31"/>
      <c r="G594" s="15" t="s">
        <v>57</v>
      </c>
      <c r="H594" s="16" t="s">
        <v>80</v>
      </c>
    </row>
    <row r="595" spans="2:8" s="1" customFormat="1" x14ac:dyDescent="0.15">
      <c r="B595" s="32">
        <v>300117</v>
      </c>
      <c r="C595" s="2" t="s">
        <v>2</v>
      </c>
      <c r="D595" s="9">
        <f>ROUND(C12*680,0)</f>
        <v>7140</v>
      </c>
      <c r="E595" s="3" t="s">
        <v>3</v>
      </c>
      <c r="F595" s="11">
        <f>ROUND(C12*1936,0)</f>
        <v>20328</v>
      </c>
      <c r="G595" s="4" t="s">
        <v>8</v>
      </c>
      <c r="H595" s="17" t="s">
        <v>81</v>
      </c>
    </row>
    <row r="596" spans="2:8" s="1" customFormat="1" ht="13.5" customHeight="1" x14ac:dyDescent="0.15">
      <c r="B596" s="33"/>
      <c r="C596" s="5" t="s">
        <v>4</v>
      </c>
      <c r="D596" s="9">
        <f>ROUND(C12*880,0)</f>
        <v>9240</v>
      </c>
      <c r="E596" s="6" t="s">
        <v>5</v>
      </c>
      <c r="F596" s="11">
        <f>ROUND(C12*980,0)</f>
        <v>10290</v>
      </c>
      <c r="G596" s="35">
        <v>100</v>
      </c>
      <c r="H596" s="17"/>
    </row>
    <row r="597" spans="2:8" s="1" customFormat="1" ht="13.5" customHeight="1" x14ac:dyDescent="0.15">
      <c r="B597" s="33"/>
      <c r="C597" s="7" t="s">
        <v>6</v>
      </c>
      <c r="D597" s="10">
        <v>4</v>
      </c>
      <c r="E597" s="8" t="s">
        <v>7</v>
      </c>
      <c r="F597" s="12">
        <f>ROUND(C12*530,0)</f>
        <v>5565</v>
      </c>
      <c r="G597" s="36"/>
      <c r="H597" s="17"/>
    </row>
    <row r="598" spans="2:8" s="1" customFormat="1" ht="14.25" thickBot="1" x14ac:dyDescent="0.2">
      <c r="B598" s="34"/>
      <c r="C598" s="18" t="s">
        <v>16</v>
      </c>
      <c r="D598" s="19" t="s">
        <v>393</v>
      </c>
      <c r="E598" s="20" t="s">
        <v>17</v>
      </c>
      <c r="F598" s="21" t="s">
        <v>100</v>
      </c>
      <c r="G598" s="22" t="s">
        <v>20</v>
      </c>
      <c r="H598" s="23" t="s">
        <v>37</v>
      </c>
    </row>
    <row r="599" spans="2:8" s="1" customFormat="1" x14ac:dyDescent="0.15">
      <c r="B599" s="13" t="s">
        <v>1</v>
      </c>
      <c r="C599" s="14" t="s">
        <v>0</v>
      </c>
      <c r="D599" s="29" t="s">
        <v>260</v>
      </c>
      <c r="E599" s="30"/>
      <c r="F599" s="31"/>
      <c r="G599" s="15" t="s">
        <v>57</v>
      </c>
      <c r="H599" s="16" t="s">
        <v>91</v>
      </c>
    </row>
    <row r="600" spans="2:8" s="1" customFormat="1" x14ac:dyDescent="0.15">
      <c r="B600" s="32">
        <v>300118</v>
      </c>
      <c r="C600" s="2" t="s">
        <v>2</v>
      </c>
      <c r="D600" s="9">
        <f>ROUND(C12*680,0)</f>
        <v>7140</v>
      </c>
      <c r="E600" s="3" t="s">
        <v>3</v>
      </c>
      <c r="F600" s="11">
        <f>ROUND(C12*1936,0)</f>
        <v>20328</v>
      </c>
      <c r="G600" s="4" t="s">
        <v>8</v>
      </c>
      <c r="H600" s="17" t="s">
        <v>92</v>
      </c>
    </row>
    <row r="601" spans="2:8" s="1" customFormat="1" ht="13.5" customHeight="1" x14ac:dyDescent="0.15">
      <c r="B601" s="33"/>
      <c r="C601" s="5" t="s">
        <v>4</v>
      </c>
      <c r="D601" s="9">
        <f>ROUND(C12*880,0)</f>
        <v>9240</v>
      </c>
      <c r="E601" s="6" t="s">
        <v>5</v>
      </c>
      <c r="F601" s="11">
        <f>ROUND(C12*980,0)</f>
        <v>10290</v>
      </c>
      <c r="G601" s="35">
        <v>100</v>
      </c>
      <c r="H601" s="17"/>
    </row>
    <row r="602" spans="2:8" s="1" customFormat="1" ht="13.5" customHeight="1" x14ac:dyDescent="0.15">
      <c r="B602" s="33"/>
      <c r="C602" s="7" t="s">
        <v>6</v>
      </c>
      <c r="D602" s="10">
        <v>4</v>
      </c>
      <c r="E602" s="8" t="s">
        <v>7</v>
      </c>
      <c r="F602" s="12">
        <f>ROUND(C12*530,0)</f>
        <v>5565</v>
      </c>
      <c r="G602" s="36"/>
      <c r="H602" s="17"/>
    </row>
    <row r="603" spans="2:8" s="1" customFormat="1" ht="14.25" thickBot="1" x14ac:dyDescent="0.2">
      <c r="B603" s="34"/>
      <c r="C603" s="18" t="s">
        <v>16</v>
      </c>
      <c r="D603" s="19" t="s">
        <v>407</v>
      </c>
      <c r="E603" s="20" t="s">
        <v>17</v>
      </c>
      <c r="F603" s="21" t="s">
        <v>49</v>
      </c>
      <c r="G603" s="22" t="s">
        <v>20</v>
      </c>
      <c r="H603" s="23" t="s">
        <v>37</v>
      </c>
    </row>
    <row r="604" spans="2:8" s="1" customFormat="1" x14ac:dyDescent="0.15">
      <c r="B604" s="13" t="s">
        <v>1</v>
      </c>
      <c r="C604" s="14" t="s">
        <v>0</v>
      </c>
      <c r="D604" s="29" t="s">
        <v>261</v>
      </c>
      <c r="E604" s="30"/>
      <c r="F604" s="31"/>
      <c r="G604" s="15" t="s">
        <v>57</v>
      </c>
      <c r="H604" s="16" t="s">
        <v>104</v>
      </c>
    </row>
    <row r="605" spans="2:8" s="1" customFormat="1" x14ac:dyDescent="0.15">
      <c r="B605" s="32">
        <v>300119</v>
      </c>
      <c r="C605" s="2" t="s">
        <v>2</v>
      </c>
      <c r="D605" s="9">
        <f>ROUND(C12*680,0)</f>
        <v>7140</v>
      </c>
      <c r="E605" s="3" t="s">
        <v>3</v>
      </c>
      <c r="F605" s="11">
        <f>ROUND(C12*880,0)</f>
        <v>9240</v>
      </c>
      <c r="G605" s="4" t="s">
        <v>8</v>
      </c>
      <c r="H605" s="17" t="s">
        <v>105</v>
      </c>
    </row>
    <row r="606" spans="2:8" s="1" customFormat="1" ht="13.5" customHeight="1" x14ac:dyDescent="0.15">
      <c r="B606" s="33"/>
      <c r="C606" s="5" t="s">
        <v>4</v>
      </c>
      <c r="D606" s="9">
        <f>ROUND(C12*880,0)</f>
        <v>9240</v>
      </c>
      <c r="E606" s="6" t="s">
        <v>5</v>
      </c>
      <c r="F606" s="11">
        <f>ROUND(C12*476,0)</f>
        <v>4998</v>
      </c>
      <c r="G606" s="35">
        <v>50</v>
      </c>
      <c r="H606" s="17"/>
    </row>
    <row r="607" spans="2:8" s="1" customFormat="1" ht="13.5" customHeight="1" x14ac:dyDescent="0.15">
      <c r="B607" s="33"/>
      <c r="C607" s="7" t="s">
        <v>6</v>
      </c>
      <c r="D607" s="10">
        <v>7</v>
      </c>
      <c r="E607" s="8" t="s">
        <v>7</v>
      </c>
      <c r="F607" s="12">
        <f>ROUND(C12*480,0)</f>
        <v>5040</v>
      </c>
      <c r="G607" s="36"/>
      <c r="H607" s="17"/>
    </row>
    <row r="608" spans="2:8" s="1" customFormat="1" ht="14.25" thickBot="1" x14ac:dyDescent="0.2">
      <c r="B608" s="34"/>
      <c r="C608" s="18" t="s">
        <v>16</v>
      </c>
      <c r="D608" s="19" t="s">
        <v>408</v>
      </c>
      <c r="E608" s="20" t="s">
        <v>17</v>
      </c>
      <c r="F608" s="21" t="s">
        <v>294</v>
      </c>
      <c r="G608" s="22" t="s">
        <v>20</v>
      </c>
      <c r="H608" s="23" t="s">
        <v>262</v>
      </c>
    </row>
    <row r="609" spans="2:8" s="1" customFormat="1" x14ac:dyDescent="0.15">
      <c r="B609" s="13" t="s">
        <v>1</v>
      </c>
      <c r="C609" s="14" t="s">
        <v>0</v>
      </c>
      <c r="D609" s="29" t="s">
        <v>263</v>
      </c>
      <c r="E609" s="30"/>
      <c r="F609" s="31"/>
      <c r="G609" s="15" t="s">
        <v>57</v>
      </c>
      <c r="H609" s="16" t="s">
        <v>35</v>
      </c>
    </row>
    <row r="610" spans="2:8" s="1" customFormat="1" x14ac:dyDescent="0.15">
      <c r="B610" s="32">
        <v>300120</v>
      </c>
      <c r="C610" s="2" t="s">
        <v>2</v>
      </c>
      <c r="D610" s="9">
        <f>ROUND(C12*680,0)</f>
        <v>7140</v>
      </c>
      <c r="E610" s="3" t="s">
        <v>3</v>
      </c>
      <c r="F610" s="11">
        <f>ROUND(C12*880,0)</f>
        <v>9240</v>
      </c>
      <c r="G610" s="4" t="s">
        <v>8</v>
      </c>
      <c r="H610" s="17" t="s">
        <v>23</v>
      </c>
    </row>
    <row r="611" spans="2:8" s="1" customFormat="1" ht="13.5" customHeight="1" x14ac:dyDescent="0.15">
      <c r="B611" s="33"/>
      <c r="C611" s="5" t="s">
        <v>4</v>
      </c>
      <c r="D611" s="9">
        <f>ROUND(C12*880,0)</f>
        <v>9240</v>
      </c>
      <c r="E611" s="6" t="s">
        <v>5</v>
      </c>
      <c r="F611" s="11">
        <f>ROUND(C12*476,0)</f>
        <v>4998</v>
      </c>
      <c r="G611" s="35">
        <v>100</v>
      </c>
      <c r="H611" s="17"/>
    </row>
    <row r="612" spans="2:8" s="1" customFormat="1" ht="13.5" customHeight="1" x14ac:dyDescent="0.15">
      <c r="B612" s="33"/>
      <c r="C612" s="7" t="s">
        <v>6</v>
      </c>
      <c r="D612" s="10">
        <v>7</v>
      </c>
      <c r="E612" s="8" t="s">
        <v>7</v>
      </c>
      <c r="F612" s="12">
        <f>ROUND(C12*480,0)</f>
        <v>5040</v>
      </c>
      <c r="G612" s="36"/>
      <c r="H612" s="17"/>
    </row>
    <row r="613" spans="2:8" s="1" customFormat="1" ht="14.25" thickBot="1" x14ac:dyDescent="0.2">
      <c r="B613" s="34"/>
      <c r="C613" s="18" t="s">
        <v>16</v>
      </c>
      <c r="D613" s="19" t="s">
        <v>413</v>
      </c>
      <c r="E613" s="20" t="s">
        <v>17</v>
      </c>
      <c r="F613" s="21" t="s">
        <v>52</v>
      </c>
      <c r="G613" s="22" t="s">
        <v>20</v>
      </c>
      <c r="H613" s="23" t="s">
        <v>37</v>
      </c>
    </row>
    <row r="614" spans="2:8" s="1" customFormat="1" x14ac:dyDescent="0.15">
      <c r="B614" s="13" t="s">
        <v>1</v>
      </c>
      <c r="C614" s="14" t="s">
        <v>0</v>
      </c>
      <c r="D614" s="29" t="s">
        <v>264</v>
      </c>
      <c r="E614" s="30"/>
      <c r="F614" s="31"/>
      <c r="G614" s="15" t="s">
        <v>57</v>
      </c>
      <c r="H614" s="16" t="s">
        <v>41</v>
      </c>
    </row>
    <row r="615" spans="2:8" s="1" customFormat="1" x14ac:dyDescent="0.15">
      <c r="B615" s="32">
        <v>300121</v>
      </c>
      <c r="C615" s="2" t="s">
        <v>2</v>
      </c>
      <c r="D615" s="9">
        <f>ROUND(C12*680,0)</f>
        <v>7140</v>
      </c>
      <c r="E615" s="3" t="s">
        <v>3</v>
      </c>
      <c r="F615" s="11">
        <f>ROUND(C12*1936,0)</f>
        <v>20328</v>
      </c>
      <c r="G615" s="4" t="s">
        <v>8</v>
      </c>
      <c r="H615" s="17" t="s">
        <v>25</v>
      </c>
    </row>
    <row r="616" spans="2:8" s="1" customFormat="1" ht="13.5" customHeight="1" x14ac:dyDescent="0.15">
      <c r="B616" s="33"/>
      <c r="C616" s="5" t="s">
        <v>4</v>
      </c>
      <c r="D616" s="9">
        <f>ROUND(C12*880,0)</f>
        <v>9240</v>
      </c>
      <c r="E616" s="6" t="s">
        <v>5</v>
      </c>
      <c r="F616" s="11">
        <f>ROUND(C12*980,0)</f>
        <v>10290</v>
      </c>
      <c r="G616" s="35">
        <v>100</v>
      </c>
      <c r="H616" s="17"/>
    </row>
    <row r="617" spans="2:8" s="1" customFormat="1" ht="13.5" customHeight="1" x14ac:dyDescent="0.15">
      <c r="B617" s="33"/>
      <c r="C617" s="7" t="s">
        <v>6</v>
      </c>
      <c r="D617" s="10">
        <v>4</v>
      </c>
      <c r="E617" s="8" t="s">
        <v>7</v>
      </c>
      <c r="F617" s="12">
        <f>ROUND(C12*530,0)</f>
        <v>5565</v>
      </c>
      <c r="G617" s="36"/>
      <c r="H617" s="17"/>
    </row>
    <row r="618" spans="2:8" s="1" customFormat="1" ht="14.25" thickBot="1" x14ac:dyDescent="0.2">
      <c r="B618" s="34"/>
      <c r="C618" s="18" t="s">
        <v>16</v>
      </c>
      <c r="D618" s="19" t="s">
        <v>419</v>
      </c>
      <c r="E618" s="20" t="s">
        <v>17</v>
      </c>
      <c r="F618" s="21" t="s">
        <v>82</v>
      </c>
      <c r="G618" s="22" t="s">
        <v>20</v>
      </c>
      <c r="H618" s="23" t="s">
        <v>37</v>
      </c>
    </row>
    <row r="619" spans="2:8" s="1" customFormat="1" x14ac:dyDescent="0.15">
      <c r="B619" s="13" t="s">
        <v>1</v>
      </c>
      <c r="C619" s="14" t="s">
        <v>0</v>
      </c>
      <c r="D619" s="29" t="s">
        <v>265</v>
      </c>
      <c r="E619" s="30"/>
      <c r="F619" s="31"/>
      <c r="G619" s="15" t="s">
        <v>57</v>
      </c>
      <c r="H619" s="16" t="s">
        <v>108</v>
      </c>
    </row>
    <row r="620" spans="2:8" s="1" customFormat="1" x14ac:dyDescent="0.15">
      <c r="B620" s="32">
        <v>300122</v>
      </c>
      <c r="C620" s="2" t="s">
        <v>2</v>
      </c>
      <c r="D620" s="9">
        <f>ROUND(C12*680,0)</f>
        <v>7140</v>
      </c>
      <c r="E620" s="3" t="s">
        <v>3</v>
      </c>
      <c r="F620" s="11">
        <f>ROUND(C12*1936,0)</f>
        <v>20328</v>
      </c>
      <c r="G620" s="4" t="s">
        <v>8</v>
      </c>
      <c r="H620" s="17" t="s">
        <v>109</v>
      </c>
    </row>
    <row r="621" spans="2:8" s="1" customFormat="1" ht="13.5" customHeight="1" x14ac:dyDescent="0.15">
      <c r="B621" s="33"/>
      <c r="C621" s="5" t="s">
        <v>4</v>
      </c>
      <c r="D621" s="9">
        <f>ROUND(C12*880,0)</f>
        <v>9240</v>
      </c>
      <c r="E621" s="6" t="s">
        <v>5</v>
      </c>
      <c r="F621" s="11">
        <f>ROUND(C12*980,0)</f>
        <v>10290</v>
      </c>
      <c r="G621" s="35">
        <v>100</v>
      </c>
      <c r="H621" s="17"/>
    </row>
    <row r="622" spans="2:8" s="1" customFormat="1" ht="13.5" customHeight="1" x14ac:dyDescent="0.15">
      <c r="B622" s="33"/>
      <c r="C622" s="7" t="s">
        <v>6</v>
      </c>
      <c r="D622" s="10">
        <v>4</v>
      </c>
      <c r="E622" s="8" t="s">
        <v>7</v>
      </c>
      <c r="F622" s="12">
        <f>ROUND(C12*530,0)</f>
        <v>5565</v>
      </c>
      <c r="G622" s="36"/>
      <c r="H622" s="17"/>
    </row>
    <row r="623" spans="2:8" s="1" customFormat="1" ht="14.25" thickBot="1" x14ac:dyDescent="0.2">
      <c r="B623" s="34"/>
      <c r="C623" s="18" t="s">
        <v>16</v>
      </c>
      <c r="D623" s="19" t="s">
        <v>393</v>
      </c>
      <c r="E623" s="20" t="s">
        <v>17</v>
      </c>
      <c r="F623" s="21" t="s">
        <v>52</v>
      </c>
      <c r="G623" s="22" t="s">
        <v>20</v>
      </c>
      <c r="H623" s="23" t="s">
        <v>37</v>
      </c>
    </row>
    <row r="624" spans="2:8" s="1" customFormat="1" x14ac:dyDescent="0.15">
      <c r="B624" s="13" t="s">
        <v>1</v>
      </c>
      <c r="C624" s="14" t="s">
        <v>0</v>
      </c>
      <c r="D624" s="29" t="s">
        <v>266</v>
      </c>
      <c r="E624" s="30"/>
      <c r="F624" s="31"/>
      <c r="G624" s="15" t="s">
        <v>57</v>
      </c>
      <c r="H624" s="16" t="s">
        <v>134</v>
      </c>
    </row>
    <row r="625" spans="2:8" s="1" customFormat="1" x14ac:dyDescent="0.15">
      <c r="B625" s="32">
        <v>300123</v>
      </c>
      <c r="C625" s="2" t="s">
        <v>2</v>
      </c>
      <c r="D625" s="9">
        <f>ROUND(C12*680,0)</f>
        <v>7140</v>
      </c>
      <c r="E625" s="3" t="s">
        <v>3</v>
      </c>
      <c r="F625" s="11">
        <f>ROUND(C12*880,0)</f>
        <v>9240</v>
      </c>
      <c r="G625" s="4" t="s">
        <v>8</v>
      </c>
      <c r="H625" s="17" t="s">
        <v>135</v>
      </c>
    </row>
    <row r="626" spans="2:8" s="1" customFormat="1" ht="13.5" customHeight="1" x14ac:dyDescent="0.15">
      <c r="B626" s="33"/>
      <c r="C626" s="5" t="s">
        <v>4</v>
      </c>
      <c r="D626" s="9">
        <f>ROUND(C12*880,0)</f>
        <v>9240</v>
      </c>
      <c r="E626" s="6" t="s">
        <v>5</v>
      </c>
      <c r="F626" s="11">
        <f>ROUND(C12*476,0)</f>
        <v>4998</v>
      </c>
      <c r="G626" s="35">
        <v>50</v>
      </c>
      <c r="H626" s="17"/>
    </row>
    <row r="627" spans="2:8" s="1" customFormat="1" ht="13.5" customHeight="1" x14ac:dyDescent="0.15">
      <c r="B627" s="33"/>
      <c r="C627" s="7" t="s">
        <v>6</v>
      </c>
      <c r="D627" s="10">
        <v>7</v>
      </c>
      <c r="E627" s="8" t="s">
        <v>7</v>
      </c>
      <c r="F627" s="12">
        <f>ROUND(C12*480,0)</f>
        <v>5040</v>
      </c>
      <c r="G627" s="36"/>
      <c r="H627" s="17"/>
    </row>
    <row r="628" spans="2:8" s="1" customFormat="1" ht="14.25" thickBot="1" x14ac:dyDescent="0.2">
      <c r="B628" s="34"/>
      <c r="C628" s="18" t="s">
        <v>16</v>
      </c>
      <c r="D628" s="19" t="s">
        <v>382</v>
      </c>
      <c r="E628" s="20" t="s">
        <v>17</v>
      </c>
      <c r="F628" s="21" t="s">
        <v>396</v>
      </c>
      <c r="G628" s="22" t="s">
        <v>20</v>
      </c>
      <c r="H628" s="23" t="s">
        <v>267</v>
      </c>
    </row>
    <row r="629" spans="2:8" s="1" customFormat="1" x14ac:dyDescent="0.15">
      <c r="B629" s="13" t="s">
        <v>1</v>
      </c>
      <c r="C629" s="14" t="s">
        <v>0</v>
      </c>
      <c r="D629" s="29" t="s">
        <v>268</v>
      </c>
      <c r="E629" s="30"/>
      <c r="F629" s="31"/>
      <c r="G629" s="15" t="s">
        <v>57</v>
      </c>
      <c r="H629" s="16" t="s">
        <v>55</v>
      </c>
    </row>
    <row r="630" spans="2:8" s="1" customFormat="1" x14ac:dyDescent="0.15">
      <c r="B630" s="32">
        <v>300124</v>
      </c>
      <c r="C630" s="2" t="s">
        <v>2</v>
      </c>
      <c r="D630" s="9">
        <f>ROUND(C12*680,0)</f>
        <v>7140</v>
      </c>
      <c r="E630" s="3" t="s">
        <v>3</v>
      </c>
      <c r="F630" s="11">
        <f>ROUND(C12*880,0)</f>
        <v>9240</v>
      </c>
      <c r="G630" s="4" t="s">
        <v>8</v>
      </c>
      <c r="H630" s="17" t="s">
        <v>30</v>
      </c>
    </row>
    <row r="631" spans="2:8" s="1" customFormat="1" ht="13.5" customHeight="1" x14ac:dyDescent="0.15">
      <c r="B631" s="33"/>
      <c r="C631" s="5" t="s">
        <v>4</v>
      </c>
      <c r="D631" s="9">
        <f>ROUND(C12*880,0)</f>
        <v>9240</v>
      </c>
      <c r="E631" s="6" t="s">
        <v>5</v>
      </c>
      <c r="F631" s="11">
        <f>ROUND(C12*476,0)</f>
        <v>4998</v>
      </c>
      <c r="G631" s="35">
        <v>100</v>
      </c>
      <c r="H631" s="17"/>
    </row>
    <row r="632" spans="2:8" s="1" customFormat="1" ht="13.5" customHeight="1" x14ac:dyDescent="0.15">
      <c r="B632" s="33"/>
      <c r="C632" s="7" t="s">
        <v>6</v>
      </c>
      <c r="D632" s="10">
        <v>7</v>
      </c>
      <c r="E632" s="8" t="s">
        <v>7</v>
      </c>
      <c r="F632" s="12">
        <f>ROUND(C12*480,0)</f>
        <v>5040</v>
      </c>
      <c r="G632" s="36"/>
      <c r="H632" s="17"/>
    </row>
    <row r="633" spans="2:8" s="1" customFormat="1" ht="14.25" thickBot="1" x14ac:dyDescent="0.2">
      <c r="B633" s="34"/>
      <c r="C633" s="18" t="s">
        <v>16</v>
      </c>
      <c r="D633" s="19" t="s">
        <v>422</v>
      </c>
      <c r="E633" s="20" t="s">
        <v>17</v>
      </c>
      <c r="F633" s="21" t="s">
        <v>293</v>
      </c>
      <c r="G633" s="22" t="s">
        <v>20</v>
      </c>
      <c r="H633" s="23" t="s">
        <v>37</v>
      </c>
    </row>
    <row r="634" spans="2:8" s="1" customFormat="1" x14ac:dyDescent="0.15">
      <c r="B634" s="13" t="s">
        <v>1</v>
      </c>
      <c r="C634" s="14" t="s">
        <v>0</v>
      </c>
      <c r="D634" s="29" t="s">
        <v>269</v>
      </c>
      <c r="E634" s="30"/>
      <c r="F634" s="31"/>
      <c r="G634" s="15" t="s">
        <v>57</v>
      </c>
      <c r="H634" s="16" t="s">
        <v>80</v>
      </c>
    </row>
    <row r="635" spans="2:8" s="1" customFormat="1" x14ac:dyDescent="0.15">
      <c r="B635" s="32">
        <v>300125</v>
      </c>
      <c r="C635" s="2" t="s">
        <v>2</v>
      </c>
      <c r="D635" s="9">
        <f>ROUND(C12*680,0)</f>
        <v>7140</v>
      </c>
      <c r="E635" s="3" t="s">
        <v>3</v>
      </c>
      <c r="F635" s="11">
        <f>ROUND(C12*1936,0)</f>
        <v>20328</v>
      </c>
      <c r="G635" s="4" t="s">
        <v>8</v>
      </c>
      <c r="H635" s="17" t="s">
        <v>81</v>
      </c>
    </row>
    <row r="636" spans="2:8" s="1" customFormat="1" ht="13.5" customHeight="1" x14ac:dyDescent="0.15">
      <c r="B636" s="33"/>
      <c r="C636" s="5" t="s">
        <v>4</v>
      </c>
      <c r="D636" s="9">
        <f>ROUND(C12*880,0)</f>
        <v>9240</v>
      </c>
      <c r="E636" s="6" t="s">
        <v>5</v>
      </c>
      <c r="F636" s="11">
        <f>ROUND(C12*980,0)</f>
        <v>10290</v>
      </c>
      <c r="G636" s="35">
        <v>100</v>
      </c>
      <c r="H636" s="17"/>
    </row>
    <row r="637" spans="2:8" s="1" customFormat="1" ht="13.5" customHeight="1" x14ac:dyDescent="0.15">
      <c r="B637" s="33"/>
      <c r="C637" s="7" t="s">
        <v>6</v>
      </c>
      <c r="D637" s="10">
        <v>4</v>
      </c>
      <c r="E637" s="8" t="s">
        <v>7</v>
      </c>
      <c r="F637" s="12">
        <f>ROUND(C12*530,0)</f>
        <v>5565</v>
      </c>
      <c r="G637" s="36"/>
      <c r="H637" s="17"/>
    </row>
    <row r="638" spans="2:8" s="1" customFormat="1" ht="14.25" thickBot="1" x14ac:dyDescent="0.2">
      <c r="B638" s="34"/>
      <c r="C638" s="18" t="s">
        <v>16</v>
      </c>
      <c r="D638" s="19" t="s">
        <v>402</v>
      </c>
      <c r="E638" s="20" t="s">
        <v>17</v>
      </c>
      <c r="F638" s="21" t="s">
        <v>51</v>
      </c>
      <c r="G638" s="22" t="s">
        <v>20</v>
      </c>
      <c r="H638" s="23" t="s">
        <v>37</v>
      </c>
    </row>
    <row r="639" spans="2:8" s="1" customFormat="1" x14ac:dyDescent="0.15">
      <c r="B639" s="13" t="s">
        <v>1</v>
      </c>
      <c r="C639" s="14" t="s">
        <v>0</v>
      </c>
      <c r="D639" s="29" t="s">
        <v>270</v>
      </c>
      <c r="E639" s="30"/>
      <c r="F639" s="31"/>
      <c r="G639" s="15" t="s">
        <v>57</v>
      </c>
      <c r="H639" s="16" t="s">
        <v>116</v>
      </c>
    </row>
    <row r="640" spans="2:8" s="1" customFormat="1" x14ac:dyDescent="0.15">
      <c r="B640" s="32">
        <v>300126</v>
      </c>
      <c r="C640" s="2" t="s">
        <v>2</v>
      </c>
      <c r="D640" s="9">
        <f>ROUND(C12*680,0)</f>
        <v>7140</v>
      </c>
      <c r="E640" s="3" t="s">
        <v>3</v>
      </c>
      <c r="F640" s="11">
        <f>ROUND(C12*880,0)</f>
        <v>9240</v>
      </c>
      <c r="G640" s="4" t="s">
        <v>8</v>
      </c>
      <c r="H640" s="17" t="s">
        <v>117</v>
      </c>
    </row>
    <row r="641" spans="2:8" s="1" customFormat="1" ht="13.5" customHeight="1" x14ac:dyDescent="0.15">
      <c r="B641" s="33"/>
      <c r="C641" s="5" t="s">
        <v>4</v>
      </c>
      <c r="D641" s="9">
        <f>ROUND(C12*880,0)</f>
        <v>9240</v>
      </c>
      <c r="E641" s="6" t="s">
        <v>5</v>
      </c>
      <c r="F641" s="11">
        <f>ROUND(C12*476,0)</f>
        <v>4998</v>
      </c>
      <c r="G641" s="35">
        <v>100</v>
      </c>
      <c r="H641" s="17"/>
    </row>
    <row r="642" spans="2:8" s="1" customFormat="1" ht="13.5" customHeight="1" x14ac:dyDescent="0.15">
      <c r="B642" s="33"/>
      <c r="C642" s="7" t="s">
        <v>6</v>
      </c>
      <c r="D642" s="10">
        <v>7</v>
      </c>
      <c r="E642" s="8" t="s">
        <v>7</v>
      </c>
      <c r="F642" s="12">
        <f>ROUND(C12*530,0)</f>
        <v>5565</v>
      </c>
      <c r="G642" s="36"/>
      <c r="H642" s="17"/>
    </row>
    <row r="643" spans="2:8" s="1" customFormat="1" ht="14.25" thickBot="1" x14ac:dyDescent="0.2">
      <c r="B643" s="34"/>
      <c r="C643" s="18" t="s">
        <v>16</v>
      </c>
      <c r="D643" s="19" t="s">
        <v>428</v>
      </c>
      <c r="E643" s="20" t="s">
        <v>17</v>
      </c>
      <c r="F643" s="21" t="s">
        <v>56</v>
      </c>
      <c r="G643" s="22" t="s">
        <v>20</v>
      </c>
      <c r="H643" s="23" t="s">
        <v>37</v>
      </c>
    </row>
    <row r="644" spans="2:8" s="1" customFormat="1" x14ac:dyDescent="0.15">
      <c r="B644" s="13" t="s">
        <v>1</v>
      </c>
      <c r="C644" s="14" t="s">
        <v>0</v>
      </c>
      <c r="D644" s="29" t="s">
        <v>271</v>
      </c>
      <c r="E644" s="30"/>
      <c r="F644" s="31"/>
      <c r="G644" s="15" t="s">
        <v>57</v>
      </c>
      <c r="H644" s="16" t="s">
        <v>128</v>
      </c>
    </row>
    <row r="645" spans="2:8" s="1" customFormat="1" x14ac:dyDescent="0.15">
      <c r="B645" s="32">
        <v>300127</v>
      </c>
      <c r="C645" s="2" t="s">
        <v>2</v>
      </c>
      <c r="D645" s="9">
        <f>ROUND(C12*680,0)</f>
        <v>7140</v>
      </c>
      <c r="E645" s="3" t="s">
        <v>3</v>
      </c>
      <c r="F645" s="11">
        <f>ROUND(C12*1936,0)</f>
        <v>20328</v>
      </c>
      <c r="G645" s="4" t="s">
        <v>8</v>
      </c>
      <c r="H645" s="17" t="s">
        <v>129</v>
      </c>
    </row>
    <row r="646" spans="2:8" s="1" customFormat="1" ht="13.5" customHeight="1" x14ac:dyDescent="0.15">
      <c r="B646" s="33"/>
      <c r="C646" s="5" t="s">
        <v>4</v>
      </c>
      <c r="D646" s="9">
        <f>ROUND(C12*880,0)</f>
        <v>9240</v>
      </c>
      <c r="E646" s="6" t="s">
        <v>5</v>
      </c>
      <c r="F646" s="11">
        <f>ROUND(C12*980,0)</f>
        <v>10290</v>
      </c>
      <c r="G646" s="35">
        <v>100</v>
      </c>
      <c r="H646" s="17"/>
    </row>
    <row r="647" spans="2:8" s="1" customFormat="1" ht="13.5" customHeight="1" x14ac:dyDescent="0.15">
      <c r="B647" s="33"/>
      <c r="C647" s="7" t="s">
        <v>6</v>
      </c>
      <c r="D647" s="10">
        <v>4</v>
      </c>
      <c r="E647" s="8" t="s">
        <v>7</v>
      </c>
      <c r="F647" s="12">
        <f>ROUND(C12*530,0)</f>
        <v>5565</v>
      </c>
      <c r="G647" s="36"/>
      <c r="H647" s="17"/>
    </row>
    <row r="648" spans="2:8" s="1" customFormat="1" ht="14.25" thickBot="1" x14ac:dyDescent="0.2">
      <c r="B648" s="34"/>
      <c r="C648" s="18" t="s">
        <v>16</v>
      </c>
      <c r="D648" s="19" t="s">
        <v>431</v>
      </c>
      <c r="E648" s="20" t="s">
        <v>17</v>
      </c>
      <c r="F648" s="21" t="s">
        <v>49</v>
      </c>
      <c r="G648" s="22" t="s">
        <v>20</v>
      </c>
      <c r="H648" s="23" t="s">
        <v>37</v>
      </c>
    </row>
    <row r="649" spans="2:8" s="1" customFormat="1" x14ac:dyDescent="0.15">
      <c r="B649" s="13" t="s">
        <v>1</v>
      </c>
      <c r="C649" s="14" t="s">
        <v>0</v>
      </c>
      <c r="D649" s="29" t="s">
        <v>272</v>
      </c>
      <c r="E649" s="30"/>
      <c r="F649" s="31"/>
      <c r="G649" s="15" t="s">
        <v>57</v>
      </c>
      <c r="H649" s="16" t="s">
        <v>139</v>
      </c>
    </row>
    <row r="650" spans="2:8" s="1" customFormat="1" x14ac:dyDescent="0.15">
      <c r="B650" s="32">
        <v>300128</v>
      </c>
      <c r="C650" s="2" t="s">
        <v>2</v>
      </c>
      <c r="D650" s="9">
        <f>ROUND(C12*680,0)</f>
        <v>7140</v>
      </c>
      <c r="E650" s="3" t="s">
        <v>3</v>
      </c>
      <c r="F650" s="11">
        <f>ROUND(C12*880,0)</f>
        <v>9240</v>
      </c>
      <c r="G650" s="4" t="s">
        <v>8</v>
      </c>
      <c r="H650" s="17" t="s">
        <v>140</v>
      </c>
    </row>
    <row r="651" spans="2:8" s="1" customFormat="1" ht="13.5" customHeight="1" x14ac:dyDescent="0.15">
      <c r="B651" s="33"/>
      <c r="C651" s="5" t="s">
        <v>4</v>
      </c>
      <c r="D651" s="9">
        <f>ROUND(C12*880,0)</f>
        <v>9240</v>
      </c>
      <c r="E651" s="6" t="s">
        <v>5</v>
      </c>
      <c r="F651" s="11">
        <f>ROUND(C12*476,0)</f>
        <v>4998</v>
      </c>
      <c r="G651" s="35">
        <v>50</v>
      </c>
      <c r="H651" s="17"/>
    </row>
    <row r="652" spans="2:8" s="1" customFormat="1" ht="13.5" customHeight="1" x14ac:dyDescent="0.15">
      <c r="B652" s="33"/>
      <c r="C652" s="7" t="s">
        <v>6</v>
      </c>
      <c r="D652" s="10">
        <v>7</v>
      </c>
      <c r="E652" s="8" t="s">
        <v>7</v>
      </c>
      <c r="F652" s="12">
        <f>ROUND(C12*480,0)</f>
        <v>5040</v>
      </c>
      <c r="G652" s="36"/>
      <c r="H652" s="17"/>
    </row>
    <row r="653" spans="2:8" s="1" customFormat="1" ht="14.25" thickBot="1" x14ac:dyDescent="0.2">
      <c r="B653" s="34"/>
      <c r="C653" s="18" t="s">
        <v>16</v>
      </c>
      <c r="D653" s="19" t="s">
        <v>432</v>
      </c>
      <c r="E653" s="20" t="s">
        <v>17</v>
      </c>
      <c r="F653" s="21" t="s">
        <v>93</v>
      </c>
      <c r="G653" s="22" t="s">
        <v>20</v>
      </c>
      <c r="H653" s="23" t="s">
        <v>37</v>
      </c>
    </row>
    <row r="654" spans="2:8" s="1" customFormat="1" x14ac:dyDescent="0.15">
      <c r="B654" s="13" t="s">
        <v>1</v>
      </c>
      <c r="C654" s="14" t="s">
        <v>0</v>
      </c>
      <c r="D654" s="29" t="s">
        <v>273</v>
      </c>
      <c r="E654" s="30"/>
      <c r="F654" s="31"/>
      <c r="G654" s="15" t="s">
        <v>57</v>
      </c>
      <c r="H654" s="16" t="s">
        <v>35</v>
      </c>
    </row>
    <row r="655" spans="2:8" s="1" customFormat="1" x14ac:dyDescent="0.15">
      <c r="B655" s="32">
        <v>300129</v>
      </c>
      <c r="C655" s="2" t="s">
        <v>2</v>
      </c>
      <c r="D655" s="9">
        <f>ROUND(C12*680,0)</f>
        <v>7140</v>
      </c>
      <c r="E655" s="3" t="s">
        <v>3</v>
      </c>
      <c r="F655" s="11">
        <f>ROUND(C12*880,0)</f>
        <v>9240</v>
      </c>
      <c r="G655" s="4" t="s">
        <v>8</v>
      </c>
      <c r="H655" s="17" t="s">
        <v>23</v>
      </c>
    </row>
    <row r="656" spans="2:8" s="1" customFormat="1" ht="13.5" customHeight="1" x14ac:dyDescent="0.15">
      <c r="B656" s="33"/>
      <c r="C656" s="5" t="s">
        <v>4</v>
      </c>
      <c r="D656" s="9">
        <f>ROUND(C12*880,0)</f>
        <v>9240</v>
      </c>
      <c r="E656" s="6" t="s">
        <v>5</v>
      </c>
      <c r="F656" s="11">
        <f>ROUND(C12*476,0)</f>
        <v>4998</v>
      </c>
      <c r="G656" s="35">
        <v>100</v>
      </c>
      <c r="H656" s="17"/>
    </row>
    <row r="657" spans="2:8" s="1" customFormat="1" ht="13.5" customHeight="1" x14ac:dyDescent="0.15">
      <c r="B657" s="33"/>
      <c r="C657" s="7" t="s">
        <v>6</v>
      </c>
      <c r="D657" s="10">
        <v>7</v>
      </c>
      <c r="E657" s="8" t="s">
        <v>7</v>
      </c>
      <c r="F657" s="12">
        <f>ROUND(C12*480,0)</f>
        <v>5040</v>
      </c>
      <c r="G657" s="36"/>
      <c r="H657" s="17"/>
    </row>
    <row r="658" spans="2:8" s="1" customFormat="1" ht="14.25" thickBot="1" x14ac:dyDescent="0.2">
      <c r="B658" s="34"/>
      <c r="C658" s="18" t="s">
        <v>16</v>
      </c>
      <c r="D658" s="19" t="s">
        <v>395</v>
      </c>
      <c r="E658" s="20" t="s">
        <v>17</v>
      </c>
      <c r="F658" s="21" t="s">
        <v>396</v>
      </c>
      <c r="G658" s="22" t="s">
        <v>20</v>
      </c>
      <c r="H658" s="23" t="s">
        <v>37</v>
      </c>
    </row>
    <row r="659" spans="2:8" s="1" customFormat="1" x14ac:dyDescent="0.15">
      <c r="B659" s="13" t="s">
        <v>1</v>
      </c>
      <c r="C659" s="14" t="s">
        <v>0</v>
      </c>
      <c r="D659" s="29" t="s">
        <v>274</v>
      </c>
      <c r="E659" s="30"/>
      <c r="F659" s="31"/>
      <c r="G659" s="15" t="s">
        <v>57</v>
      </c>
      <c r="H659" s="16" t="s">
        <v>41</v>
      </c>
    </row>
    <row r="660" spans="2:8" s="1" customFormat="1" x14ac:dyDescent="0.15">
      <c r="B660" s="32">
        <v>300130</v>
      </c>
      <c r="C660" s="2" t="s">
        <v>2</v>
      </c>
      <c r="D660" s="9">
        <f>ROUND(C12*680,0)</f>
        <v>7140</v>
      </c>
      <c r="E660" s="3" t="s">
        <v>3</v>
      </c>
      <c r="F660" s="11">
        <f>ROUND(C12*1936,0)</f>
        <v>20328</v>
      </c>
      <c r="G660" s="4" t="s">
        <v>8</v>
      </c>
      <c r="H660" s="17" t="s">
        <v>25</v>
      </c>
    </row>
    <row r="661" spans="2:8" s="1" customFormat="1" ht="13.5" customHeight="1" x14ac:dyDescent="0.15">
      <c r="B661" s="33"/>
      <c r="C661" s="5" t="s">
        <v>4</v>
      </c>
      <c r="D661" s="9">
        <f>ROUND(C12*880,0)</f>
        <v>9240</v>
      </c>
      <c r="E661" s="6" t="s">
        <v>5</v>
      </c>
      <c r="F661" s="11">
        <f>ROUND(C12*980,0)</f>
        <v>10290</v>
      </c>
      <c r="G661" s="35">
        <v>100</v>
      </c>
      <c r="H661" s="17"/>
    </row>
    <row r="662" spans="2:8" s="1" customFormat="1" ht="13.5" customHeight="1" x14ac:dyDescent="0.15">
      <c r="B662" s="33"/>
      <c r="C662" s="7" t="s">
        <v>6</v>
      </c>
      <c r="D662" s="10">
        <v>4</v>
      </c>
      <c r="E662" s="8" t="s">
        <v>7</v>
      </c>
      <c r="F662" s="12">
        <f>ROUND(C12*530,0)</f>
        <v>5565</v>
      </c>
      <c r="G662" s="36"/>
      <c r="H662" s="17"/>
    </row>
    <row r="663" spans="2:8" s="1" customFormat="1" ht="14.25" thickBot="1" x14ac:dyDescent="0.2">
      <c r="B663" s="34"/>
      <c r="C663" s="18" t="s">
        <v>16</v>
      </c>
      <c r="D663" s="19" t="s">
        <v>376</v>
      </c>
      <c r="E663" s="20" t="s">
        <v>17</v>
      </c>
      <c r="F663" s="21" t="s">
        <v>52</v>
      </c>
      <c r="G663" s="22" t="s">
        <v>20</v>
      </c>
      <c r="H663" s="23" t="s">
        <v>37</v>
      </c>
    </row>
    <row r="664" spans="2:8" s="1" customFormat="1" x14ac:dyDescent="0.15">
      <c r="B664" s="13" t="s">
        <v>1</v>
      </c>
      <c r="C664" s="14" t="s">
        <v>0</v>
      </c>
      <c r="D664" s="29" t="s">
        <v>275</v>
      </c>
      <c r="E664" s="30"/>
      <c r="F664" s="31"/>
      <c r="G664" s="15" t="s">
        <v>57</v>
      </c>
      <c r="H664" s="16" t="s">
        <v>131</v>
      </c>
    </row>
    <row r="665" spans="2:8" s="1" customFormat="1" x14ac:dyDescent="0.15">
      <c r="B665" s="32">
        <v>300131</v>
      </c>
      <c r="C665" s="2" t="s">
        <v>2</v>
      </c>
      <c r="D665" s="9">
        <f>ROUND(C12*680,0)</f>
        <v>7140</v>
      </c>
      <c r="E665" s="3" t="s">
        <v>3</v>
      </c>
      <c r="F665" s="11">
        <f>ROUND(C12*880,0)</f>
        <v>9240</v>
      </c>
      <c r="G665" s="4" t="s">
        <v>8</v>
      </c>
      <c r="H665" s="17" t="s">
        <v>132</v>
      </c>
    </row>
    <row r="666" spans="2:8" s="1" customFormat="1" ht="13.5" customHeight="1" x14ac:dyDescent="0.15">
      <c r="B666" s="33"/>
      <c r="C666" s="5" t="s">
        <v>4</v>
      </c>
      <c r="D666" s="9">
        <f>ROUND(C12*880,0)</f>
        <v>9240</v>
      </c>
      <c r="E666" s="6" t="s">
        <v>5</v>
      </c>
      <c r="F666" s="11">
        <f>ROUND(C12*476,0)</f>
        <v>4998</v>
      </c>
      <c r="G666" s="35">
        <v>100</v>
      </c>
      <c r="H666" s="17"/>
    </row>
    <row r="667" spans="2:8" s="1" customFormat="1" ht="13.5" customHeight="1" x14ac:dyDescent="0.15">
      <c r="B667" s="33"/>
      <c r="C667" s="7" t="s">
        <v>6</v>
      </c>
      <c r="D667" s="10">
        <v>7</v>
      </c>
      <c r="E667" s="8" t="s">
        <v>7</v>
      </c>
      <c r="F667" s="12">
        <f>ROUND(C12*530,0)</f>
        <v>5565</v>
      </c>
      <c r="G667" s="36"/>
      <c r="H667" s="17"/>
    </row>
    <row r="668" spans="2:8" s="1" customFormat="1" ht="14.25" thickBot="1" x14ac:dyDescent="0.2">
      <c r="B668" s="34"/>
      <c r="C668" s="18" t="s">
        <v>16</v>
      </c>
      <c r="D668" s="19" t="s">
        <v>416</v>
      </c>
      <c r="E668" s="20" t="s">
        <v>17</v>
      </c>
      <c r="F668" s="21" t="s">
        <v>93</v>
      </c>
      <c r="G668" s="22" t="s">
        <v>20</v>
      </c>
      <c r="H668" s="23" t="s">
        <v>37</v>
      </c>
    </row>
    <row r="669" spans="2:8" s="1" customFormat="1" x14ac:dyDescent="0.15">
      <c r="B669" s="13" t="s">
        <v>1</v>
      </c>
      <c r="C669" s="14" t="s">
        <v>0</v>
      </c>
      <c r="D669" s="29" t="s">
        <v>276</v>
      </c>
      <c r="E669" s="30"/>
      <c r="F669" s="31"/>
      <c r="G669" s="15" t="s">
        <v>57</v>
      </c>
      <c r="H669" s="16" t="s">
        <v>146</v>
      </c>
    </row>
    <row r="670" spans="2:8" s="1" customFormat="1" x14ac:dyDescent="0.15">
      <c r="B670" s="32">
        <v>300132</v>
      </c>
      <c r="C670" s="2" t="s">
        <v>2</v>
      </c>
      <c r="D670" s="9">
        <f>ROUND(C12*680,0)</f>
        <v>7140</v>
      </c>
      <c r="E670" s="3" t="s">
        <v>3</v>
      </c>
      <c r="F670" s="11">
        <f>ROUND(C12*1936,0)</f>
        <v>20328</v>
      </c>
      <c r="G670" s="4" t="s">
        <v>8</v>
      </c>
      <c r="H670" s="17" t="s">
        <v>147</v>
      </c>
    </row>
    <row r="671" spans="2:8" s="1" customFormat="1" ht="13.5" customHeight="1" x14ac:dyDescent="0.15">
      <c r="B671" s="33"/>
      <c r="C671" s="5" t="s">
        <v>4</v>
      </c>
      <c r="D671" s="9">
        <f>ROUND(C12*880,0)</f>
        <v>9240</v>
      </c>
      <c r="E671" s="6" t="s">
        <v>5</v>
      </c>
      <c r="F671" s="11">
        <f>ROUND(C12*980,0)</f>
        <v>10290</v>
      </c>
      <c r="G671" s="35">
        <v>100</v>
      </c>
      <c r="H671" s="17"/>
    </row>
    <row r="672" spans="2:8" s="1" customFormat="1" ht="13.5" customHeight="1" x14ac:dyDescent="0.15">
      <c r="B672" s="33"/>
      <c r="C672" s="7" t="s">
        <v>6</v>
      </c>
      <c r="D672" s="10">
        <v>4</v>
      </c>
      <c r="E672" s="8" t="s">
        <v>7</v>
      </c>
      <c r="F672" s="12">
        <f>ROUND(C12*530,0)</f>
        <v>5565</v>
      </c>
      <c r="G672" s="36"/>
      <c r="H672" s="17"/>
    </row>
    <row r="673" spans="2:8" s="1" customFormat="1" ht="14.25" thickBot="1" x14ac:dyDescent="0.2">
      <c r="B673" s="34"/>
      <c r="C673" s="18" t="s">
        <v>16</v>
      </c>
      <c r="D673" s="19" t="s">
        <v>429</v>
      </c>
      <c r="E673" s="20" t="s">
        <v>17</v>
      </c>
      <c r="F673" s="21" t="s">
        <v>218</v>
      </c>
      <c r="G673" s="22" t="s">
        <v>20</v>
      </c>
      <c r="H673" s="23" t="s">
        <v>37</v>
      </c>
    </row>
    <row r="674" spans="2:8" s="1" customFormat="1" x14ac:dyDescent="0.15">
      <c r="B674" s="13" t="s">
        <v>1</v>
      </c>
      <c r="C674" s="14" t="s">
        <v>0</v>
      </c>
      <c r="D674" s="29" t="s">
        <v>277</v>
      </c>
      <c r="E674" s="30"/>
      <c r="F674" s="31"/>
      <c r="G674" s="15" t="s">
        <v>57</v>
      </c>
      <c r="H674" s="16" t="s">
        <v>167</v>
      </c>
    </row>
    <row r="675" spans="2:8" s="1" customFormat="1" x14ac:dyDescent="0.15">
      <c r="B675" s="32">
        <v>300133</v>
      </c>
      <c r="C675" s="2" t="s">
        <v>2</v>
      </c>
      <c r="D675" s="9">
        <f>ROUND(C12*680,0)</f>
        <v>7140</v>
      </c>
      <c r="E675" s="3" t="s">
        <v>3</v>
      </c>
      <c r="F675" s="11">
        <f>ROUND(C12*880,0)</f>
        <v>9240</v>
      </c>
      <c r="G675" s="4" t="s">
        <v>8</v>
      </c>
      <c r="H675" s="17" t="s">
        <v>168</v>
      </c>
    </row>
    <row r="676" spans="2:8" s="1" customFormat="1" ht="13.5" customHeight="1" x14ac:dyDescent="0.15">
      <c r="B676" s="33"/>
      <c r="C676" s="5" t="s">
        <v>4</v>
      </c>
      <c r="D676" s="9">
        <f>ROUND(C12*880,0)</f>
        <v>9240</v>
      </c>
      <c r="E676" s="6" t="s">
        <v>5</v>
      </c>
      <c r="F676" s="11">
        <f>ROUND(C12*476,0)</f>
        <v>4998</v>
      </c>
      <c r="G676" s="35">
        <v>50</v>
      </c>
      <c r="H676" s="17"/>
    </row>
    <row r="677" spans="2:8" s="1" customFormat="1" ht="13.5" customHeight="1" x14ac:dyDescent="0.15">
      <c r="B677" s="33"/>
      <c r="C677" s="7" t="s">
        <v>6</v>
      </c>
      <c r="D677" s="10">
        <v>7</v>
      </c>
      <c r="E677" s="8" t="s">
        <v>7</v>
      </c>
      <c r="F677" s="12">
        <f>ROUND(C12*480,0)</f>
        <v>5040</v>
      </c>
      <c r="G677" s="36"/>
      <c r="H677" s="17"/>
    </row>
    <row r="678" spans="2:8" s="1" customFormat="1" ht="14.25" thickBot="1" x14ac:dyDescent="0.2">
      <c r="B678" s="34"/>
      <c r="C678" s="18" t="s">
        <v>16</v>
      </c>
      <c r="D678" s="19" t="s">
        <v>419</v>
      </c>
      <c r="E678" s="20" t="s">
        <v>17</v>
      </c>
      <c r="F678" s="21" t="s">
        <v>33</v>
      </c>
      <c r="G678" s="22" t="s">
        <v>20</v>
      </c>
      <c r="H678" s="23" t="s">
        <v>278</v>
      </c>
    </row>
    <row r="679" spans="2:8" s="1" customFormat="1" x14ac:dyDescent="0.15">
      <c r="B679" s="13" t="s">
        <v>1</v>
      </c>
      <c r="C679" s="14" t="s">
        <v>0</v>
      </c>
      <c r="D679" s="29" t="s">
        <v>279</v>
      </c>
      <c r="E679" s="30"/>
      <c r="F679" s="31"/>
      <c r="G679" s="15" t="s">
        <v>57</v>
      </c>
      <c r="H679" s="16" t="s">
        <v>55</v>
      </c>
    </row>
    <row r="680" spans="2:8" s="1" customFormat="1" x14ac:dyDescent="0.15">
      <c r="B680" s="32">
        <v>300134</v>
      </c>
      <c r="C680" s="2" t="s">
        <v>2</v>
      </c>
      <c r="D680" s="9">
        <f>ROUND(C12*680,0)</f>
        <v>7140</v>
      </c>
      <c r="E680" s="3" t="s">
        <v>3</v>
      </c>
      <c r="F680" s="11">
        <f>ROUND(C12*880,0)</f>
        <v>9240</v>
      </c>
      <c r="G680" s="4" t="s">
        <v>8</v>
      </c>
      <c r="H680" s="17" t="s">
        <v>30</v>
      </c>
    </row>
    <row r="681" spans="2:8" s="1" customFormat="1" ht="13.5" customHeight="1" x14ac:dyDescent="0.15">
      <c r="B681" s="33"/>
      <c r="C681" s="5" t="s">
        <v>4</v>
      </c>
      <c r="D681" s="9">
        <f>ROUND(C12*880,0)</f>
        <v>9240</v>
      </c>
      <c r="E681" s="6" t="s">
        <v>5</v>
      </c>
      <c r="F681" s="11">
        <f>ROUND(C12*476,0)</f>
        <v>4998</v>
      </c>
      <c r="G681" s="35">
        <v>100</v>
      </c>
      <c r="H681" s="17"/>
    </row>
    <row r="682" spans="2:8" s="1" customFormat="1" ht="13.5" customHeight="1" x14ac:dyDescent="0.15">
      <c r="B682" s="33"/>
      <c r="C682" s="7" t="s">
        <v>6</v>
      </c>
      <c r="D682" s="10">
        <v>7</v>
      </c>
      <c r="E682" s="8" t="s">
        <v>7</v>
      </c>
      <c r="F682" s="12">
        <f>ROUND(C12*480,0)</f>
        <v>5040</v>
      </c>
      <c r="G682" s="36"/>
      <c r="H682" s="17"/>
    </row>
    <row r="683" spans="2:8" s="1" customFormat="1" ht="14.25" thickBot="1" x14ac:dyDescent="0.2">
      <c r="B683" s="34"/>
      <c r="C683" s="18" t="s">
        <v>16</v>
      </c>
      <c r="D683" s="19" t="s">
        <v>411</v>
      </c>
      <c r="E683" s="20" t="s">
        <v>17</v>
      </c>
      <c r="F683" s="21" t="s">
        <v>392</v>
      </c>
      <c r="G683" s="22" t="s">
        <v>20</v>
      </c>
      <c r="H683" s="23" t="s">
        <v>37</v>
      </c>
    </row>
    <row r="684" spans="2:8" s="1" customFormat="1" x14ac:dyDescent="0.15">
      <c r="B684" s="13" t="s">
        <v>1</v>
      </c>
      <c r="C684" s="14" t="s">
        <v>0</v>
      </c>
      <c r="D684" s="29" t="s">
        <v>280</v>
      </c>
      <c r="E684" s="30"/>
      <c r="F684" s="31"/>
      <c r="G684" s="15" t="s">
        <v>57</v>
      </c>
      <c r="H684" s="16" t="s">
        <v>80</v>
      </c>
    </row>
    <row r="685" spans="2:8" s="1" customFormat="1" x14ac:dyDescent="0.15">
      <c r="B685" s="32">
        <v>300135</v>
      </c>
      <c r="C685" s="2" t="s">
        <v>2</v>
      </c>
      <c r="D685" s="9">
        <f>ROUND(C12*680,0)</f>
        <v>7140</v>
      </c>
      <c r="E685" s="3" t="s">
        <v>3</v>
      </c>
      <c r="F685" s="11">
        <f>ROUND(C12*1936,0)</f>
        <v>20328</v>
      </c>
      <c r="G685" s="4" t="s">
        <v>8</v>
      </c>
      <c r="H685" s="17" t="s">
        <v>81</v>
      </c>
    </row>
    <row r="686" spans="2:8" s="1" customFormat="1" ht="13.5" customHeight="1" x14ac:dyDescent="0.15">
      <c r="B686" s="33"/>
      <c r="C686" s="5" t="s">
        <v>4</v>
      </c>
      <c r="D686" s="9">
        <f>ROUND(C12*880,0)</f>
        <v>9240</v>
      </c>
      <c r="E686" s="6" t="s">
        <v>5</v>
      </c>
      <c r="F686" s="11">
        <f>ROUND(C12*980,0)</f>
        <v>10290</v>
      </c>
      <c r="G686" s="35">
        <v>100</v>
      </c>
      <c r="H686" s="17"/>
    </row>
    <row r="687" spans="2:8" s="1" customFormat="1" ht="13.5" customHeight="1" x14ac:dyDescent="0.15">
      <c r="B687" s="33"/>
      <c r="C687" s="7" t="s">
        <v>6</v>
      </c>
      <c r="D687" s="10">
        <v>4</v>
      </c>
      <c r="E687" s="8" t="s">
        <v>7</v>
      </c>
      <c r="F687" s="12">
        <f>ROUND(C12*530,0)</f>
        <v>5565</v>
      </c>
      <c r="G687" s="36"/>
      <c r="H687" s="17"/>
    </row>
    <row r="688" spans="2:8" s="1" customFormat="1" ht="14.25" thickBot="1" x14ac:dyDescent="0.2">
      <c r="B688" s="34"/>
      <c r="C688" s="18" t="s">
        <v>16</v>
      </c>
      <c r="D688" s="19" t="s">
        <v>433</v>
      </c>
      <c r="E688" s="20" t="s">
        <v>17</v>
      </c>
      <c r="F688" s="21" t="s">
        <v>71</v>
      </c>
      <c r="G688" s="22" t="s">
        <v>20</v>
      </c>
      <c r="H688" s="23" t="s">
        <v>37</v>
      </c>
    </row>
    <row r="689" spans="2:8" s="1" customFormat="1" x14ac:dyDescent="0.15">
      <c r="B689" s="13" t="s">
        <v>1</v>
      </c>
      <c r="C689" s="14" t="s">
        <v>0</v>
      </c>
      <c r="D689" s="29" t="s">
        <v>281</v>
      </c>
      <c r="E689" s="30"/>
      <c r="F689" s="31"/>
      <c r="G689" s="15" t="s">
        <v>57</v>
      </c>
      <c r="H689" s="16" t="s">
        <v>44</v>
      </c>
    </row>
    <row r="690" spans="2:8" s="1" customFormat="1" x14ac:dyDescent="0.15">
      <c r="B690" s="32">
        <v>300136</v>
      </c>
      <c r="C690" s="2" t="s">
        <v>2</v>
      </c>
      <c r="D690" s="9">
        <f>ROUND(C12*680,0)</f>
        <v>7140</v>
      </c>
      <c r="E690" s="3" t="s">
        <v>3</v>
      </c>
      <c r="F690" s="11">
        <f>ROUND(C12*880,0)</f>
        <v>9240</v>
      </c>
      <c r="G690" s="4" t="s">
        <v>8</v>
      </c>
      <c r="H690" s="17" t="s">
        <v>26</v>
      </c>
    </row>
    <row r="691" spans="2:8" s="1" customFormat="1" ht="13.5" customHeight="1" x14ac:dyDescent="0.15">
      <c r="B691" s="33"/>
      <c r="C691" s="5" t="s">
        <v>4</v>
      </c>
      <c r="D691" s="9">
        <f>ROUND(C12*880,0)</f>
        <v>9240</v>
      </c>
      <c r="E691" s="6" t="s">
        <v>5</v>
      </c>
      <c r="F691" s="11">
        <f>ROUND(C12*476,0)</f>
        <v>4998</v>
      </c>
      <c r="G691" s="35">
        <v>100</v>
      </c>
      <c r="H691" s="17"/>
    </row>
    <row r="692" spans="2:8" s="1" customFormat="1" ht="13.5" customHeight="1" x14ac:dyDescent="0.15">
      <c r="B692" s="33"/>
      <c r="C692" s="7" t="s">
        <v>6</v>
      </c>
      <c r="D692" s="10">
        <v>7</v>
      </c>
      <c r="E692" s="8" t="s">
        <v>7</v>
      </c>
      <c r="F692" s="12">
        <f>ROUND(C12*530,0)</f>
        <v>5565</v>
      </c>
      <c r="G692" s="36"/>
      <c r="H692" s="17"/>
    </row>
    <row r="693" spans="2:8" s="1" customFormat="1" ht="14.25" thickBot="1" x14ac:dyDescent="0.2">
      <c r="B693" s="34"/>
      <c r="C693" s="18" t="s">
        <v>16</v>
      </c>
      <c r="D693" s="19" t="s">
        <v>382</v>
      </c>
      <c r="E693" s="20" t="s">
        <v>17</v>
      </c>
      <c r="F693" s="21" t="s">
        <v>82</v>
      </c>
      <c r="G693" s="22" t="s">
        <v>20</v>
      </c>
      <c r="H693" s="23" t="s">
        <v>37</v>
      </c>
    </row>
    <row r="694" spans="2:8" s="1" customFormat="1" x14ac:dyDescent="0.15">
      <c r="B694" s="13" t="s">
        <v>1</v>
      </c>
      <c r="C694" s="14" t="s">
        <v>0</v>
      </c>
      <c r="D694" s="29" t="s">
        <v>282</v>
      </c>
      <c r="E694" s="30"/>
      <c r="F694" s="31"/>
      <c r="G694" s="15" t="s">
        <v>57</v>
      </c>
      <c r="H694" s="16" t="s">
        <v>46</v>
      </c>
    </row>
    <row r="695" spans="2:8" s="1" customFormat="1" x14ac:dyDescent="0.15">
      <c r="B695" s="32">
        <v>300137</v>
      </c>
      <c r="C695" s="2" t="s">
        <v>2</v>
      </c>
      <c r="D695" s="9">
        <f>ROUND(C12*680,0)</f>
        <v>7140</v>
      </c>
      <c r="E695" s="3" t="s">
        <v>3</v>
      </c>
      <c r="F695" s="11">
        <f>ROUND(C12*1936,0)</f>
        <v>20328</v>
      </c>
      <c r="G695" s="4" t="s">
        <v>8</v>
      </c>
      <c r="H695" s="17" t="s">
        <v>27</v>
      </c>
    </row>
    <row r="696" spans="2:8" s="1" customFormat="1" ht="13.5" customHeight="1" x14ac:dyDescent="0.15">
      <c r="B696" s="33"/>
      <c r="C696" s="5" t="s">
        <v>4</v>
      </c>
      <c r="D696" s="9">
        <f>ROUND(C12*880,0)</f>
        <v>9240</v>
      </c>
      <c r="E696" s="6" t="s">
        <v>5</v>
      </c>
      <c r="F696" s="11">
        <f>ROUND(C12*980,0)</f>
        <v>10290</v>
      </c>
      <c r="G696" s="35">
        <v>100</v>
      </c>
      <c r="H696" s="17"/>
    </row>
    <row r="697" spans="2:8" s="1" customFormat="1" ht="13.5" customHeight="1" x14ac:dyDescent="0.15">
      <c r="B697" s="33"/>
      <c r="C697" s="7" t="s">
        <v>6</v>
      </c>
      <c r="D697" s="10">
        <v>4</v>
      </c>
      <c r="E697" s="8" t="s">
        <v>7</v>
      </c>
      <c r="F697" s="12">
        <f>ROUND(C12*530,0)</f>
        <v>5565</v>
      </c>
      <c r="G697" s="36"/>
      <c r="H697" s="17"/>
    </row>
    <row r="698" spans="2:8" s="1" customFormat="1" ht="14.25" thickBot="1" x14ac:dyDescent="0.2">
      <c r="B698" s="34"/>
      <c r="C698" s="18" t="s">
        <v>16</v>
      </c>
      <c r="D698" s="19" t="s">
        <v>413</v>
      </c>
      <c r="E698" s="20" t="s">
        <v>17</v>
      </c>
      <c r="F698" s="21" t="s">
        <v>100</v>
      </c>
      <c r="G698" s="22" t="s">
        <v>20</v>
      </c>
      <c r="H698" s="23" t="s">
        <v>37</v>
      </c>
    </row>
    <row r="699" spans="2:8" s="1" customFormat="1" x14ac:dyDescent="0.15">
      <c r="B699" s="13" t="s">
        <v>1</v>
      </c>
      <c r="C699" s="14" t="s">
        <v>0</v>
      </c>
      <c r="D699" s="29" t="s">
        <v>283</v>
      </c>
      <c r="E699" s="30"/>
      <c r="F699" s="31"/>
      <c r="G699" s="15" t="s">
        <v>57</v>
      </c>
      <c r="H699" s="16" t="s">
        <v>53</v>
      </c>
    </row>
    <row r="700" spans="2:8" s="1" customFormat="1" x14ac:dyDescent="0.15">
      <c r="B700" s="32">
        <v>300138</v>
      </c>
      <c r="C700" s="2" t="s">
        <v>2</v>
      </c>
      <c r="D700" s="9">
        <f>ROUND(C12*680,0)</f>
        <v>7140</v>
      </c>
      <c r="E700" s="3" t="s">
        <v>3</v>
      </c>
      <c r="F700" s="11">
        <f>ROUND(C12*880,0)</f>
        <v>9240</v>
      </c>
      <c r="G700" s="4" t="s">
        <v>8</v>
      </c>
      <c r="H700" s="17" t="s">
        <v>394</v>
      </c>
    </row>
    <row r="701" spans="2:8" s="1" customFormat="1" ht="13.5" customHeight="1" x14ac:dyDescent="0.15">
      <c r="B701" s="33"/>
      <c r="C701" s="5" t="s">
        <v>4</v>
      </c>
      <c r="D701" s="9">
        <f>ROUND(C12*880,0)</f>
        <v>9240</v>
      </c>
      <c r="E701" s="6" t="s">
        <v>5</v>
      </c>
      <c r="F701" s="11">
        <f>ROUND(C12*476,0)</f>
        <v>4998</v>
      </c>
      <c r="G701" s="35">
        <v>30</v>
      </c>
      <c r="H701" s="17"/>
    </row>
    <row r="702" spans="2:8" s="1" customFormat="1" ht="13.5" customHeight="1" x14ac:dyDescent="0.15">
      <c r="B702" s="33"/>
      <c r="C702" s="7" t="s">
        <v>6</v>
      </c>
      <c r="D702" s="10">
        <v>7</v>
      </c>
      <c r="E702" s="8" t="s">
        <v>7</v>
      </c>
      <c r="F702" s="12">
        <f>ROUND(C12*480,0)</f>
        <v>5040</v>
      </c>
      <c r="G702" s="36"/>
      <c r="H702" s="17"/>
    </row>
    <row r="703" spans="2:8" s="1" customFormat="1" ht="14.25" thickBot="1" x14ac:dyDescent="0.2">
      <c r="B703" s="34"/>
      <c r="C703" s="18" t="s">
        <v>16</v>
      </c>
      <c r="D703" s="19" t="s">
        <v>400</v>
      </c>
      <c r="E703" s="20" t="s">
        <v>17</v>
      </c>
      <c r="F703" s="21" t="s">
        <v>32</v>
      </c>
      <c r="G703" s="22" t="s">
        <v>20</v>
      </c>
      <c r="H703" s="23" t="s">
        <v>284</v>
      </c>
    </row>
    <row r="704" spans="2:8" s="1" customFormat="1" x14ac:dyDescent="0.15">
      <c r="B704" s="13" t="s">
        <v>1</v>
      </c>
      <c r="C704" s="14" t="s">
        <v>0</v>
      </c>
      <c r="D704" s="29" t="s">
        <v>285</v>
      </c>
      <c r="E704" s="30"/>
      <c r="F704" s="31"/>
      <c r="G704" s="15" t="s">
        <v>57</v>
      </c>
      <c r="H704" s="16" t="s">
        <v>35</v>
      </c>
    </row>
    <row r="705" spans="2:8" s="1" customFormat="1" x14ac:dyDescent="0.15">
      <c r="B705" s="32">
        <v>300139</v>
      </c>
      <c r="C705" s="2" t="s">
        <v>2</v>
      </c>
      <c r="D705" s="9">
        <f>ROUND(C12*680,0)</f>
        <v>7140</v>
      </c>
      <c r="E705" s="3" t="s">
        <v>3</v>
      </c>
      <c r="F705" s="11">
        <f>ROUND(C12*880,0)</f>
        <v>9240</v>
      </c>
      <c r="G705" s="4" t="s">
        <v>8</v>
      </c>
      <c r="H705" s="17" t="s">
        <v>23</v>
      </c>
    </row>
    <row r="706" spans="2:8" s="1" customFormat="1" ht="13.5" customHeight="1" x14ac:dyDescent="0.15">
      <c r="B706" s="33"/>
      <c r="C706" s="5" t="s">
        <v>4</v>
      </c>
      <c r="D706" s="9">
        <f>ROUND(C12*880,0)</f>
        <v>9240</v>
      </c>
      <c r="E706" s="6" t="s">
        <v>5</v>
      </c>
      <c r="F706" s="11">
        <f>ROUND(C12*476,0)</f>
        <v>4998</v>
      </c>
      <c r="G706" s="35">
        <v>100</v>
      </c>
      <c r="H706" s="17"/>
    </row>
    <row r="707" spans="2:8" s="1" customFormat="1" ht="13.5" customHeight="1" x14ac:dyDescent="0.15">
      <c r="B707" s="33"/>
      <c r="C707" s="7" t="s">
        <v>6</v>
      </c>
      <c r="D707" s="10">
        <v>7</v>
      </c>
      <c r="E707" s="8" t="s">
        <v>7</v>
      </c>
      <c r="F707" s="12">
        <f>ROUND(C12*480,0)</f>
        <v>5040</v>
      </c>
      <c r="G707" s="36"/>
      <c r="H707" s="17"/>
    </row>
    <row r="708" spans="2:8" s="1" customFormat="1" ht="14.25" thickBot="1" x14ac:dyDescent="0.2">
      <c r="B708" s="34"/>
      <c r="C708" s="18" t="s">
        <v>16</v>
      </c>
      <c r="D708" s="19" t="s">
        <v>402</v>
      </c>
      <c r="E708" s="20" t="s">
        <v>17</v>
      </c>
      <c r="F708" s="21" t="s">
        <v>392</v>
      </c>
      <c r="G708" s="22" t="s">
        <v>20</v>
      </c>
      <c r="H708" s="23" t="s">
        <v>37</v>
      </c>
    </row>
    <row r="709" spans="2:8" s="1" customFormat="1" x14ac:dyDescent="0.15">
      <c r="B709" s="13" t="s">
        <v>1</v>
      </c>
      <c r="C709" s="14" t="s">
        <v>0</v>
      </c>
      <c r="D709" s="29" t="s">
        <v>286</v>
      </c>
      <c r="E709" s="30"/>
      <c r="F709" s="31"/>
      <c r="G709" s="15" t="s">
        <v>57</v>
      </c>
      <c r="H709" s="16" t="s">
        <v>41</v>
      </c>
    </row>
    <row r="710" spans="2:8" s="1" customFormat="1" x14ac:dyDescent="0.15">
      <c r="B710" s="32">
        <v>300140</v>
      </c>
      <c r="C710" s="2" t="s">
        <v>2</v>
      </c>
      <c r="D710" s="9">
        <f>ROUND(C12*680,0)</f>
        <v>7140</v>
      </c>
      <c r="E710" s="3" t="s">
        <v>3</v>
      </c>
      <c r="F710" s="11">
        <f>ROUND(C12*1936,0)</f>
        <v>20328</v>
      </c>
      <c r="G710" s="4" t="s">
        <v>8</v>
      </c>
      <c r="H710" s="17" t="s">
        <v>25</v>
      </c>
    </row>
    <row r="711" spans="2:8" s="1" customFormat="1" ht="13.5" customHeight="1" x14ac:dyDescent="0.15">
      <c r="B711" s="33"/>
      <c r="C711" s="5" t="s">
        <v>4</v>
      </c>
      <c r="D711" s="9">
        <f>ROUND(C12*880,0)</f>
        <v>9240</v>
      </c>
      <c r="E711" s="6" t="s">
        <v>5</v>
      </c>
      <c r="F711" s="11">
        <f>ROUND(C12*980,0)</f>
        <v>10290</v>
      </c>
      <c r="G711" s="35">
        <v>100</v>
      </c>
      <c r="H711" s="17"/>
    </row>
    <row r="712" spans="2:8" s="1" customFormat="1" ht="13.5" customHeight="1" x14ac:dyDescent="0.15">
      <c r="B712" s="33"/>
      <c r="C712" s="7" t="s">
        <v>6</v>
      </c>
      <c r="D712" s="10">
        <v>4</v>
      </c>
      <c r="E712" s="8" t="s">
        <v>7</v>
      </c>
      <c r="F712" s="12">
        <f>ROUND(C12*530,0)</f>
        <v>5565</v>
      </c>
      <c r="G712" s="36"/>
      <c r="H712" s="17"/>
    </row>
    <row r="713" spans="2:8" s="1" customFormat="1" ht="14.25" thickBot="1" x14ac:dyDescent="0.2">
      <c r="B713" s="34"/>
      <c r="C713" s="18" t="s">
        <v>16</v>
      </c>
      <c r="D713" s="19" t="s">
        <v>422</v>
      </c>
      <c r="E713" s="20" t="s">
        <v>17</v>
      </c>
      <c r="F713" s="21" t="s">
        <v>293</v>
      </c>
      <c r="G713" s="22" t="s">
        <v>20</v>
      </c>
      <c r="H713" s="23" t="s">
        <v>37</v>
      </c>
    </row>
    <row r="714" spans="2:8" s="1" customFormat="1" x14ac:dyDescent="0.15">
      <c r="B714" s="13" t="s">
        <v>1</v>
      </c>
      <c r="C714" s="14" t="s">
        <v>0</v>
      </c>
      <c r="D714" s="29" t="s">
        <v>287</v>
      </c>
      <c r="E714" s="30"/>
      <c r="F714" s="31"/>
      <c r="G714" s="15" t="s">
        <v>57</v>
      </c>
      <c r="H714" s="16" t="s">
        <v>74</v>
      </c>
    </row>
    <row r="715" spans="2:8" s="1" customFormat="1" x14ac:dyDescent="0.15">
      <c r="B715" s="32">
        <v>300141</v>
      </c>
      <c r="C715" s="2" t="s">
        <v>2</v>
      </c>
      <c r="D715" s="9">
        <f>ROUND(C12*680,0)</f>
        <v>7140</v>
      </c>
      <c r="E715" s="3" t="s">
        <v>3</v>
      </c>
      <c r="F715" s="11">
        <f>ROUND(C12*880,0)</f>
        <v>9240</v>
      </c>
      <c r="G715" s="4" t="s">
        <v>8</v>
      </c>
      <c r="H715" s="17" t="s">
        <v>75</v>
      </c>
    </row>
    <row r="716" spans="2:8" s="1" customFormat="1" ht="13.5" customHeight="1" x14ac:dyDescent="0.15">
      <c r="B716" s="33"/>
      <c r="C716" s="5" t="s">
        <v>4</v>
      </c>
      <c r="D716" s="9">
        <f>ROUND(C12*880,0)</f>
        <v>9240</v>
      </c>
      <c r="E716" s="6" t="s">
        <v>5</v>
      </c>
      <c r="F716" s="11">
        <f>ROUND(C12*476,0)</f>
        <v>4998</v>
      </c>
      <c r="G716" s="35">
        <v>100</v>
      </c>
      <c r="H716" s="17"/>
    </row>
    <row r="717" spans="2:8" s="1" customFormat="1" ht="13.5" customHeight="1" x14ac:dyDescent="0.15">
      <c r="B717" s="33"/>
      <c r="C717" s="7" t="s">
        <v>6</v>
      </c>
      <c r="D717" s="10">
        <v>7</v>
      </c>
      <c r="E717" s="8" t="s">
        <v>7</v>
      </c>
      <c r="F717" s="12">
        <f>ROUND(C12*530,0)</f>
        <v>5565</v>
      </c>
      <c r="G717" s="36"/>
      <c r="H717" s="17"/>
    </row>
    <row r="718" spans="2:8" s="1" customFormat="1" ht="14.25" thickBot="1" x14ac:dyDescent="0.2">
      <c r="B718" s="34"/>
      <c r="C718" s="18" t="s">
        <v>16</v>
      </c>
      <c r="D718" s="19" t="s">
        <v>419</v>
      </c>
      <c r="E718" s="20" t="s">
        <v>17</v>
      </c>
      <c r="F718" s="21" t="s">
        <v>430</v>
      </c>
      <c r="G718" s="22" t="s">
        <v>20</v>
      </c>
      <c r="H718" s="23" t="s">
        <v>37</v>
      </c>
    </row>
    <row r="719" spans="2:8" s="1" customFormat="1" x14ac:dyDescent="0.15">
      <c r="B719" s="13" t="s">
        <v>1</v>
      </c>
      <c r="C719" s="14" t="s">
        <v>0</v>
      </c>
      <c r="D719" s="29" t="s">
        <v>288</v>
      </c>
      <c r="E719" s="30"/>
      <c r="F719" s="31"/>
      <c r="G719" s="15" t="s">
        <v>57</v>
      </c>
      <c r="H719" s="16" t="s">
        <v>77</v>
      </c>
    </row>
    <row r="720" spans="2:8" s="1" customFormat="1" x14ac:dyDescent="0.15">
      <c r="B720" s="32">
        <v>300142</v>
      </c>
      <c r="C720" s="2" t="s">
        <v>2</v>
      </c>
      <c r="D720" s="9">
        <f>ROUND(C12*680,0)</f>
        <v>7140</v>
      </c>
      <c r="E720" s="3" t="s">
        <v>3</v>
      </c>
      <c r="F720" s="11">
        <f>ROUND(C12*1936,0)</f>
        <v>20328</v>
      </c>
      <c r="G720" s="4" t="s">
        <v>8</v>
      </c>
      <c r="H720" s="17" t="s">
        <v>78</v>
      </c>
    </row>
    <row r="721" spans="2:8" s="1" customFormat="1" ht="13.5" customHeight="1" x14ac:dyDescent="0.15">
      <c r="B721" s="33"/>
      <c r="C721" s="5" t="s">
        <v>4</v>
      </c>
      <c r="D721" s="9">
        <f>ROUND(C12*880,0)</f>
        <v>9240</v>
      </c>
      <c r="E721" s="6" t="s">
        <v>5</v>
      </c>
      <c r="F721" s="11">
        <f>ROUND(C12*980,0)</f>
        <v>10290</v>
      </c>
      <c r="G721" s="35">
        <v>100</v>
      </c>
      <c r="H721" s="17"/>
    </row>
    <row r="722" spans="2:8" s="1" customFormat="1" ht="13.5" customHeight="1" x14ac:dyDescent="0.15">
      <c r="B722" s="33"/>
      <c r="C722" s="7" t="s">
        <v>6</v>
      </c>
      <c r="D722" s="10">
        <v>4</v>
      </c>
      <c r="E722" s="8" t="s">
        <v>7</v>
      </c>
      <c r="F722" s="12">
        <f>ROUND(C12*530,0)</f>
        <v>5565</v>
      </c>
      <c r="G722" s="36"/>
      <c r="H722" s="17"/>
    </row>
    <row r="723" spans="2:8" s="1" customFormat="1" ht="14.25" thickBot="1" x14ac:dyDescent="0.2">
      <c r="B723" s="34"/>
      <c r="C723" s="18" t="s">
        <v>16</v>
      </c>
      <c r="D723" s="19" t="s">
        <v>43</v>
      </c>
      <c r="E723" s="20" t="s">
        <v>17</v>
      </c>
      <c r="F723" s="21" t="s">
        <v>257</v>
      </c>
      <c r="G723" s="22" t="s">
        <v>20</v>
      </c>
      <c r="H723" s="23" t="s">
        <v>37</v>
      </c>
    </row>
    <row r="724" spans="2:8" s="1" customFormat="1" x14ac:dyDescent="0.15">
      <c r="B724" s="13" t="s">
        <v>1</v>
      </c>
      <c r="C724" s="14" t="s">
        <v>0</v>
      </c>
      <c r="D724" s="29" t="s">
        <v>289</v>
      </c>
      <c r="E724" s="30"/>
      <c r="F724" s="31"/>
      <c r="G724" s="15" t="s">
        <v>57</v>
      </c>
      <c r="H724" s="16" t="s">
        <v>84</v>
      </c>
    </row>
    <row r="725" spans="2:8" s="1" customFormat="1" x14ac:dyDescent="0.15">
      <c r="B725" s="32">
        <v>300143</v>
      </c>
      <c r="C725" s="2" t="s">
        <v>2</v>
      </c>
      <c r="D725" s="9">
        <f>ROUND(C12*680,0)</f>
        <v>7140</v>
      </c>
      <c r="E725" s="3" t="s">
        <v>3</v>
      </c>
      <c r="F725" s="11">
        <f>ROUND(C12*880,0)</f>
        <v>9240</v>
      </c>
      <c r="G725" s="4" t="s">
        <v>8</v>
      </c>
      <c r="H725" s="17" t="s">
        <v>398</v>
      </c>
    </row>
    <row r="726" spans="2:8" s="1" customFormat="1" ht="13.5" customHeight="1" x14ac:dyDescent="0.15">
      <c r="B726" s="33"/>
      <c r="C726" s="5" t="s">
        <v>4</v>
      </c>
      <c r="D726" s="9">
        <f>ROUND(C12*880,0)</f>
        <v>9240</v>
      </c>
      <c r="E726" s="6" t="s">
        <v>5</v>
      </c>
      <c r="F726" s="11">
        <f>ROUND(C12*476,0)</f>
        <v>4998</v>
      </c>
      <c r="G726" s="35">
        <v>50</v>
      </c>
      <c r="H726" s="17"/>
    </row>
    <row r="727" spans="2:8" s="1" customFormat="1" ht="13.5" customHeight="1" x14ac:dyDescent="0.15">
      <c r="B727" s="33"/>
      <c r="C727" s="7" t="s">
        <v>6</v>
      </c>
      <c r="D727" s="10">
        <v>7</v>
      </c>
      <c r="E727" s="8" t="s">
        <v>7</v>
      </c>
      <c r="F727" s="12">
        <f>ROUND(C12*480,0)</f>
        <v>5040</v>
      </c>
      <c r="G727" s="36"/>
      <c r="H727" s="17"/>
    </row>
    <row r="728" spans="2:8" s="1" customFormat="1" ht="14.25" thickBot="1" x14ac:dyDescent="0.2">
      <c r="B728" s="34"/>
      <c r="C728" s="18" t="s">
        <v>16</v>
      </c>
      <c r="D728" s="19" t="s">
        <v>390</v>
      </c>
      <c r="E728" s="20" t="s">
        <v>17</v>
      </c>
      <c r="F728" s="21" t="s">
        <v>294</v>
      </c>
      <c r="G728" s="22" t="s">
        <v>20</v>
      </c>
      <c r="H728" s="23" t="s">
        <v>267</v>
      </c>
    </row>
    <row r="729" spans="2:8" s="1" customFormat="1" x14ac:dyDescent="0.15">
      <c r="B729" s="13" t="s">
        <v>1</v>
      </c>
      <c r="C729" s="14" t="s">
        <v>0</v>
      </c>
      <c r="D729" s="29" t="s">
        <v>290</v>
      </c>
      <c r="E729" s="30"/>
      <c r="F729" s="31"/>
      <c r="G729" s="15" t="s">
        <v>57</v>
      </c>
      <c r="H729" s="16" t="s">
        <v>55</v>
      </c>
    </row>
    <row r="730" spans="2:8" s="1" customFormat="1" x14ac:dyDescent="0.15">
      <c r="B730" s="32">
        <v>300144</v>
      </c>
      <c r="C730" s="2" t="s">
        <v>2</v>
      </c>
      <c r="D730" s="9">
        <f>ROUND(C12*680,0)</f>
        <v>7140</v>
      </c>
      <c r="E730" s="3" t="s">
        <v>3</v>
      </c>
      <c r="F730" s="11">
        <f>ROUND(C12*880,0)</f>
        <v>9240</v>
      </c>
      <c r="G730" s="4" t="s">
        <v>8</v>
      </c>
      <c r="H730" s="17" t="s">
        <v>30</v>
      </c>
    </row>
    <row r="731" spans="2:8" s="1" customFormat="1" ht="13.5" customHeight="1" x14ac:dyDescent="0.15">
      <c r="B731" s="33"/>
      <c r="C731" s="5" t="s">
        <v>4</v>
      </c>
      <c r="D731" s="9">
        <f>ROUND(C12*880,0)</f>
        <v>9240</v>
      </c>
      <c r="E731" s="6" t="s">
        <v>5</v>
      </c>
      <c r="F731" s="11">
        <f>ROUND(C12*476,0)</f>
        <v>4998</v>
      </c>
      <c r="G731" s="35">
        <v>100</v>
      </c>
      <c r="H731" s="17"/>
    </row>
    <row r="732" spans="2:8" s="1" customFormat="1" ht="13.5" customHeight="1" x14ac:dyDescent="0.15">
      <c r="B732" s="33"/>
      <c r="C732" s="7" t="s">
        <v>6</v>
      </c>
      <c r="D732" s="10">
        <v>7</v>
      </c>
      <c r="E732" s="8" t="s">
        <v>7</v>
      </c>
      <c r="F732" s="12">
        <f>ROUND(C12*480,0)</f>
        <v>5040</v>
      </c>
      <c r="G732" s="36"/>
      <c r="H732" s="17"/>
    </row>
    <row r="733" spans="2:8" s="1" customFormat="1" ht="14.25" thickBot="1" x14ac:dyDescent="0.2">
      <c r="B733" s="34"/>
      <c r="C733" s="18" t="s">
        <v>16</v>
      </c>
      <c r="D733" s="19" t="s">
        <v>400</v>
      </c>
      <c r="E733" s="20" t="s">
        <v>17</v>
      </c>
      <c r="F733" s="21" t="s">
        <v>71</v>
      </c>
      <c r="G733" s="22" t="s">
        <v>20</v>
      </c>
      <c r="H733" s="23" t="s">
        <v>37</v>
      </c>
    </row>
    <row r="734" spans="2:8" s="1" customFormat="1" x14ac:dyDescent="0.15">
      <c r="B734" s="13" t="s">
        <v>1</v>
      </c>
      <c r="C734" s="14" t="s">
        <v>0</v>
      </c>
      <c r="D734" s="29" t="s">
        <v>291</v>
      </c>
      <c r="E734" s="30"/>
      <c r="F734" s="31"/>
      <c r="G734" s="15" t="s">
        <v>57</v>
      </c>
      <c r="H734" s="16" t="s">
        <v>91</v>
      </c>
    </row>
    <row r="735" spans="2:8" s="1" customFormat="1" x14ac:dyDescent="0.15">
      <c r="B735" s="32">
        <v>300145</v>
      </c>
      <c r="C735" s="2" t="s">
        <v>2</v>
      </c>
      <c r="D735" s="9">
        <f>ROUND(C12*680,0)</f>
        <v>7140</v>
      </c>
      <c r="E735" s="3" t="s">
        <v>3</v>
      </c>
      <c r="F735" s="11">
        <f>ROUND(C12*880,0)</f>
        <v>9240</v>
      </c>
      <c r="G735" s="4" t="s">
        <v>8</v>
      </c>
      <c r="H735" s="17" t="s">
        <v>92</v>
      </c>
    </row>
    <row r="736" spans="2:8" s="1" customFormat="1" ht="13.5" customHeight="1" x14ac:dyDescent="0.15">
      <c r="B736" s="33"/>
      <c r="C736" s="5" t="s">
        <v>4</v>
      </c>
      <c r="D736" s="9">
        <f>ROUND(C12*880,0)</f>
        <v>9240</v>
      </c>
      <c r="E736" s="6" t="s">
        <v>5</v>
      </c>
      <c r="F736" s="11">
        <f>ROUND(C12*476,0)</f>
        <v>4998</v>
      </c>
      <c r="G736" s="35">
        <v>100</v>
      </c>
      <c r="H736" s="17"/>
    </row>
    <row r="737" spans="2:8" s="1" customFormat="1" ht="13.5" customHeight="1" x14ac:dyDescent="0.15">
      <c r="B737" s="33"/>
      <c r="C737" s="7" t="s">
        <v>6</v>
      </c>
      <c r="D737" s="10">
        <v>7</v>
      </c>
      <c r="E737" s="8" t="s">
        <v>7</v>
      </c>
      <c r="F737" s="12">
        <f>ROUND(C12*530,0)</f>
        <v>5565</v>
      </c>
      <c r="G737" s="36"/>
      <c r="H737" s="17"/>
    </row>
    <row r="738" spans="2:8" s="1" customFormat="1" ht="14.25" thickBot="1" x14ac:dyDescent="0.2">
      <c r="B738" s="34"/>
      <c r="C738" s="18" t="s">
        <v>16</v>
      </c>
      <c r="D738" s="19" t="s">
        <v>402</v>
      </c>
      <c r="E738" s="20" t="s">
        <v>17</v>
      </c>
      <c r="F738" s="21" t="s">
        <v>48</v>
      </c>
      <c r="G738" s="22" t="s">
        <v>20</v>
      </c>
      <c r="H738" s="23" t="s">
        <v>37</v>
      </c>
    </row>
    <row r="739" spans="2:8" s="1" customFormat="1" x14ac:dyDescent="0.15">
      <c r="B739" s="13" t="s">
        <v>1</v>
      </c>
      <c r="C739" s="14" t="s">
        <v>0</v>
      </c>
      <c r="D739" s="29" t="s">
        <v>292</v>
      </c>
      <c r="E739" s="30"/>
      <c r="F739" s="31"/>
      <c r="G739" s="15" t="s">
        <v>57</v>
      </c>
      <c r="H739" s="16" t="s">
        <v>98</v>
      </c>
    </row>
    <row r="740" spans="2:8" s="1" customFormat="1" x14ac:dyDescent="0.15">
      <c r="B740" s="32">
        <v>300146</v>
      </c>
      <c r="C740" s="2" t="s">
        <v>2</v>
      </c>
      <c r="D740" s="9">
        <f>ROUND(C12*680,0)</f>
        <v>7140</v>
      </c>
      <c r="E740" s="3" t="s">
        <v>3</v>
      </c>
      <c r="F740" s="11">
        <f>ROUND(C12*1936,0)</f>
        <v>20328</v>
      </c>
      <c r="G740" s="4" t="s">
        <v>8</v>
      </c>
      <c r="H740" s="17" t="s">
        <v>99</v>
      </c>
    </row>
    <row r="741" spans="2:8" s="1" customFormat="1" ht="13.5" customHeight="1" x14ac:dyDescent="0.15">
      <c r="B741" s="33"/>
      <c r="C741" s="5" t="s">
        <v>4</v>
      </c>
      <c r="D741" s="9">
        <f>ROUND(C12*880,0)</f>
        <v>9240</v>
      </c>
      <c r="E741" s="6" t="s">
        <v>5</v>
      </c>
      <c r="F741" s="11">
        <f>ROUND(C12*980,0)</f>
        <v>10290</v>
      </c>
      <c r="G741" s="35">
        <v>100</v>
      </c>
      <c r="H741" s="17"/>
    </row>
    <row r="742" spans="2:8" s="1" customFormat="1" ht="13.5" customHeight="1" x14ac:dyDescent="0.15">
      <c r="B742" s="33"/>
      <c r="C742" s="7" t="s">
        <v>6</v>
      </c>
      <c r="D742" s="10">
        <v>4</v>
      </c>
      <c r="E742" s="8" t="s">
        <v>7</v>
      </c>
      <c r="F742" s="12">
        <f>ROUND(C12*530,0)</f>
        <v>5565</v>
      </c>
      <c r="G742" s="36"/>
      <c r="H742" s="17"/>
    </row>
    <row r="743" spans="2:8" s="1" customFormat="1" ht="14.25" thickBot="1" x14ac:dyDescent="0.2">
      <c r="B743" s="34"/>
      <c r="C743" s="18" t="s">
        <v>16</v>
      </c>
      <c r="D743" s="19" t="s">
        <v>400</v>
      </c>
      <c r="E743" s="20" t="s">
        <v>17</v>
      </c>
      <c r="F743" s="21" t="s">
        <v>32</v>
      </c>
      <c r="G743" s="22" t="s">
        <v>20</v>
      </c>
      <c r="H743" s="23" t="s">
        <v>37</v>
      </c>
    </row>
    <row r="744" spans="2:8" s="1" customFormat="1" x14ac:dyDescent="0.15">
      <c r="B744" s="13" t="s">
        <v>1</v>
      </c>
      <c r="C744" s="14" t="s">
        <v>0</v>
      </c>
      <c r="D744" s="29" t="s">
        <v>295</v>
      </c>
      <c r="E744" s="30"/>
      <c r="F744" s="31"/>
      <c r="G744" s="15" t="s">
        <v>57</v>
      </c>
      <c r="H744" s="16" t="s">
        <v>159</v>
      </c>
    </row>
    <row r="745" spans="2:8" s="1" customFormat="1" x14ac:dyDescent="0.15">
      <c r="B745" s="32">
        <v>300147</v>
      </c>
      <c r="C745" s="2" t="s">
        <v>2</v>
      </c>
      <c r="D745" s="9">
        <f>ROUND(C12*680,0)</f>
        <v>7140</v>
      </c>
      <c r="E745" s="3" t="s">
        <v>3</v>
      </c>
      <c r="F745" s="11">
        <f>ROUND(C12*880,0)</f>
        <v>9240</v>
      </c>
      <c r="G745" s="4" t="s">
        <v>8</v>
      </c>
      <c r="H745" s="17" t="s">
        <v>160</v>
      </c>
    </row>
    <row r="746" spans="2:8" s="1" customFormat="1" ht="13.5" customHeight="1" x14ac:dyDescent="0.15">
      <c r="B746" s="33"/>
      <c r="C746" s="5" t="s">
        <v>4</v>
      </c>
      <c r="D746" s="9">
        <f>ROUND(C12*880,0)</f>
        <v>9240</v>
      </c>
      <c r="E746" s="6" t="s">
        <v>5</v>
      </c>
      <c r="F746" s="11">
        <f>ROUND(C12*476,0)</f>
        <v>4998</v>
      </c>
      <c r="G746" s="35">
        <v>50</v>
      </c>
      <c r="H746" s="17"/>
    </row>
    <row r="747" spans="2:8" s="1" customFormat="1" ht="13.5" customHeight="1" x14ac:dyDescent="0.15">
      <c r="B747" s="33"/>
      <c r="C747" s="7" t="s">
        <v>6</v>
      </c>
      <c r="D747" s="10">
        <v>7</v>
      </c>
      <c r="E747" s="8" t="s">
        <v>7</v>
      </c>
      <c r="F747" s="12">
        <f>ROUND(C12*480,0)</f>
        <v>5040</v>
      </c>
      <c r="G747" s="36"/>
      <c r="H747" s="17"/>
    </row>
    <row r="748" spans="2:8" s="1" customFormat="1" ht="14.25" thickBot="1" x14ac:dyDescent="0.2">
      <c r="B748" s="34"/>
      <c r="C748" s="18" t="s">
        <v>16</v>
      </c>
      <c r="D748" s="19" t="s">
        <v>413</v>
      </c>
      <c r="E748" s="20" t="s">
        <v>17</v>
      </c>
      <c r="F748" s="21" t="s">
        <v>100</v>
      </c>
      <c r="G748" s="22" t="s">
        <v>20</v>
      </c>
      <c r="H748" s="23" t="s">
        <v>125</v>
      </c>
    </row>
    <row r="749" spans="2:8" s="1" customFormat="1" x14ac:dyDescent="0.15">
      <c r="B749" s="13" t="s">
        <v>1</v>
      </c>
      <c r="C749" s="14" t="s">
        <v>0</v>
      </c>
      <c r="D749" s="29" t="s">
        <v>296</v>
      </c>
      <c r="E749" s="30"/>
      <c r="F749" s="31"/>
      <c r="G749" s="15" t="s">
        <v>57</v>
      </c>
      <c r="H749" s="16" t="s">
        <v>41</v>
      </c>
    </row>
    <row r="750" spans="2:8" s="1" customFormat="1" x14ac:dyDescent="0.15">
      <c r="B750" s="32">
        <v>300148</v>
      </c>
      <c r="C750" s="2" t="s">
        <v>2</v>
      </c>
      <c r="D750" s="9">
        <f>ROUND(C12*680,0)</f>
        <v>7140</v>
      </c>
      <c r="E750" s="3" t="s">
        <v>3</v>
      </c>
      <c r="F750" s="11">
        <f>ROUND(C12*880,0)</f>
        <v>9240</v>
      </c>
      <c r="G750" s="4" t="s">
        <v>8</v>
      </c>
      <c r="H750" s="17" t="s">
        <v>25</v>
      </c>
    </row>
    <row r="751" spans="2:8" s="1" customFormat="1" ht="13.5" customHeight="1" x14ac:dyDescent="0.15">
      <c r="B751" s="33"/>
      <c r="C751" s="5" t="s">
        <v>4</v>
      </c>
      <c r="D751" s="9">
        <f>ROUND(C12*880,0)</f>
        <v>9240</v>
      </c>
      <c r="E751" s="6" t="s">
        <v>5</v>
      </c>
      <c r="F751" s="11">
        <f>ROUND(C12*476,0)</f>
        <v>4998</v>
      </c>
      <c r="G751" s="35">
        <v>100</v>
      </c>
      <c r="H751" s="17"/>
    </row>
    <row r="752" spans="2:8" s="1" customFormat="1" ht="13.5" customHeight="1" x14ac:dyDescent="0.15">
      <c r="B752" s="33"/>
      <c r="C752" s="7" t="s">
        <v>6</v>
      </c>
      <c r="D752" s="10">
        <v>7</v>
      </c>
      <c r="E752" s="8" t="s">
        <v>7</v>
      </c>
      <c r="F752" s="12">
        <f>ROUND(C12*480,0)</f>
        <v>5040</v>
      </c>
      <c r="G752" s="36"/>
      <c r="H752" s="17"/>
    </row>
    <row r="753" spans="2:8" s="1" customFormat="1" ht="14.25" thickBot="1" x14ac:dyDescent="0.2">
      <c r="B753" s="34"/>
      <c r="C753" s="18" t="s">
        <v>16</v>
      </c>
      <c r="D753" s="19" t="s">
        <v>382</v>
      </c>
      <c r="E753" s="20" t="s">
        <v>17</v>
      </c>
      <c r="F753" s="21" t="s">
        <v>257</v>
      </c>
      <c r="G753" s="22" t="s">
        <v>20</v>
      </c>
      <c r="H753" s="23" t="s">
        <v>37</v>
      </c>
    </row>
    <row r="754" spans="2:8" s="1" customFormat="1" x14ac:dyDescent="0.15">
      <c r="B754" s="13" t="s">
        <v>1</v>
      </c>
      <c r="C754" s="14" t="s">
        <v>0</v>
      </c>
      <c r="D754" s="29" t="s">
        <v>297</v>
      </c>
      <c r="E754" s="30"/>
      <c r="F754" s="31"/>
      <c r="G754" s="15" t="s">
        <v>57</v>
      </c>
      <c r="H754" s="16" t="s">
        <v>35</v>
      </c>
    </row>
    <row r="755" spans="2:8" s="1" customFormat="1" x14ac:dyDescent="0.15">
      <c r="B755" s="32">
        <v>300149</v>
      </c>
      <c r="C755" s="2" t="s">
        <v>2</v>
      </c>
      <c r="D755" s="9">
        <f>ROUND(C12*680,0)</f>
        <v>7140</v>
      </c>
      <c r="E755" s="3" t="s">
        <v>3</v>
      </c>
      <c r="F755" s="11">
        <f>ROUND(C12*1936,0)</f>
        <v>20328</v>
      </c>
      <c r="G755" s="4" t="s">
        <v>8</v>
      </c>
      <c r="H755" s="17" t="s">
        <v>23</v>
      </c>
    </row>
    <row r="756" spans="2:8" s="1" customFormat="1" ht="13.5" customHeight="1" x14ac:dyDescent="0.15">
      <c r="B756" s="33"/>
      <c r="C756" s="5" t="s">
        <v>4</v>
      </c>
      <c r="D756" s="9">
        <f>ROUND(C12*880,0)</f>
        <v>9240</v>
      </c>
      <c r="E756" s="6" t="s">
        <v>5</v>
      </c>
      <c r="F756" s="11">
        <f>ROUND(C12*980,0)</f>
        <v>10290</v>
      </c>
      <c r="G756" s="35">
        <v>100</v>
      </c>
      <c r="H756" s="17"/>
    </row>
    <row r="757" spans="2:8" s="1" customFormat="1" ht="13.5" customHeight="1" x14ac:dyDescent="0.15">
      <c r="B757" s="33"/>
      <c r="C757" s="7" t="s">
        <v>6</v>
      </c>
      <c r="D757" s="10">
        <v>4</v>
      </c>
      <c r="E757" s="8" t="s">
        <v>7</v>
      </c>
      <c r="F757" s="12">
        <f>ROUND(C12*530,0)</f>
        <v>5565</v>
      </c>
      <c r="G757" s="36"/>
      <c r="H757" s="17"/>
    </row>
    <row r="758" spans="2:8" s="1" customFormat="1" ht="14.25" thickBot="1" x14ac:dyDescent="0.2">
      <c r="B758" s="34"/>
      <c r="C758" s="18" t="s">
        <v>16</v>
      </c>
      <c r="D758" s="19" t="s">
        <v>393</v>
      </c>
      <c r="E758" s="20" t="s">
        <v>17</v>
      </c>
      <c r="F758" s="21" t="s">
        <v>56</v>
      </c>
      <c r="G758" s="22" t="s">
        <v>20</v>
      </c>
      <c r="H758" s="23" t="s">
        <v>37</v>
      </c>
    </row>
    <row r="759" spans="2:8" s="1" customFormat="1" x14ac:dyDescent="0.15">
      <c r="B759" s="13" t="s">
        <v>1</v>
      </c>
      <c r="C759" s="14" t="s">
        <v>0</v>
      </c>
      <c r="D759" s="29" t="s">
        <v>298</v>
      </c>
      <c r="E759" s="30"/>
      <c r="F759" s="31"/>
      <c r="G759" s="15" t="s">
        <v>57</v>
      </c>
      <c r="H759" s="16" t="s">
        <v>116</v>
      </c>
    </row>
    <row r="760" spans="2:8" s="1" customFormat="1" x14ac:dyDescent="0.15">
      <c r="B760" s="32">
        <v>300150</v>
      </c>
      <c r="C760" s="2" t="s">
        <v>2</v>
      </c>
      <c r="D760" s="9">
        <f>ROUND(C12*680,0)</f>
        <v>7140</v>
      </c>
      <c r="E760" s="3" t="s">
        <v>3</v>
      </c>
      <c r="F760" s="11">
        <f>ROUND(C12*1936,0)</f>
        <v>20328</v>
      </c>
      <c r="G760" s="4" t="s">
        <v>8</v>
      </c>
      <c r="H760" s="17" t="s">
        <v>117</v>
      </c>
    </row>
    <row r="761" spans="2:8" s="1" customFormat="1" ht="13.5" customHeight="1" x14ac:dyDescent="0.15">
      <c r="B761" s="33"/>
      <c r="C761" s="5" t="s">
        <v>4</v>
      </c>
      <c r="D761" s="9">
        <f>ROUND(C12*880,0)</f>
        <v>9240</v>
      </c>
      <c r="E761" s="6" t="s">
        <v>5</v>
      </c>
      <c r="F761" s="11">
        <f>ROUND(C12*980,0)</f>
        <v>10290</v>
      </c>
      <c r="G761" s="35">
        <v>100</v>
      </c>
      <c r="H761" s="17"/>
    </row>
    <row r="762" spans="2:8" s="1" customFormat="1" ht="13.5" customHeight="1" x14ac:dyDescent="0.15">
      <c r="B762" s="33"/>
      <c r="C762" s="7" t="s">
        <v>6</v>
      </c>
      <c r="D762" s="10">
        <v>4</v>
      </c>
      <c r="E762" s="8" t="s">
        <v>7</v>
      </c>
      <c r="F762" s="12">
        <f>ROUND(C12*530,0)</f>
        <v>5565</v>
      </c>
      <c r="G762" s="36"/>
      <c r="H762" s="17"/>
    </row>
    <row r="763" spans="2:8" s="1" customFormat="1" ht="14.25" thickBot="1" x14ac:dyDescent="0.2">
      <c r="B763" s="34"/>
      <c r="C763" s="18" t="s">
        <v>16</v>
      </c>
      <c r="D763" s="19" t="s">
        <v>419</v>
      </c>
      <c r="E763" s="20" t="s">
        <v>17</v>
      </c>
      <c r="F763" s="21" t="s">
        <v>421</v>
      </c>
      <c r="G763" s="22" t="s">
        <v>20</v>
      </c>
      <c r="H763" s="23" t="s">
        <v>37</v>
      </c>
    </row>
    <row r="764" spans="2:8" s="1" customFormat="1" x14ac:dyDescent="0.15">
      <c r="B764" s="13" t="s">
        <v>1</v>
      </c>
      <c r="C764" s="14" t="s">
        <v>0</v>
      </c>
      <c r="D764" s="29" t="s">
        <v>299</v>
      </c>
      <c r="E764" s="30"/>
      <c r="F764" s="31"/>
      <c r="G764" s="15" t="s">
        <v>57</v>
      </c>
      <c r="H764" s="16" t="s">
        <v>163</v>
      </c>
    </row>
    <row r="765" spans="2:8" s="1" customFormat="1" x14ac:dyDescent="0.15">
      <c r="B765" s="32">
        <v>300151</v>
      </c>
      <c r="C765" s="2" t="s">
        <v>2</v>
      </c>
      <c r="D765" s="9">
        <f>ROUND(C12*680,0)</f>
        <v>7140</v>
      </c>
      <c r="E765" s="3" t="s">
        <v>3</v>
      </c>
      <c r="F765" s="11">
        <f>ROUND(C12*880,0)</f>
        <v>9240</v>
      </c>
      <c r="G765" s="4" t="s">
        <v>8</v>
      </c>
      <c r="H765" s="17" t="s">
        <v>164</v>
      </c>
    </row>
    <row r="766" spans="2:8" s="1" customFormat="1" ht="13.5" customHeight="1" x14ac:dyDescent="0.15">
      <c r="B766" s="33"/>
      <c r="C766" s="5" t="s">
        <v>4</v>
      </c>
      <c r="D766" s="9">
        <f>ROUND(C12*880,0)</f>
        <v>9240</v>
      </c>
      <c r="E766" s="6" t="s">
        <v>5</v>
      </c>
      <c r="F766" s="11">
        <f>ROUND(C12*476,0)</f>
        <v>4998</v>
      </c>
      <c r="G766" s="35">
        <v>50</v>
      </c>
      <c r="H766" s="17"/>
    </row>
    <row r="767" spans="2:8" s="1" customFormat="1" ht="13.5" customHeight="1" x14ac:dyDescent="0.15">
      <c r="B767" s="33"/>
      <c r="C767" s="7" t="s">
        <v>6</v>
      </c>
      <c r="D767" s="10">
        <v>7</v>
      </c>
      <c r="E767" s="8" t="s">
        <v>7</v>
      </c>
      <c r="F767" s="12">
        <f>ROUND(C12*480,0)</f>
        <v>5040</v>
      </c>
      <c r="G767" s="36"/>
      <c r="H767" s="17"/>
    </row>
    <row r="768" spans="2:8" s="1" customFormat="1" ht="14.25" thickBot="1" x14ac:dyDescent="0.2">
      <c r="B768" s="34"/>
      <c r="C768" s="18" t="s">
        <v>16</v>
      </c>
      <c r="D768" s="19" t="s">
        <v>429</v>
      </c>
      <c r="E768" s="20" t="s">
        <v>17</v>
      </c>
      <c r="F768" s="21" t="s">
        <v>54</v>
      </c>
      <c r="G768" s="22" t="s">
        <v>20</v>
      </c>
      <c r="H768" s="23" t="s">
        <v>37</v>
      </c>
    </row>
    <row r="769" spans="2:8" s="1" customFormat="1" x14ac:dyDescent="0.15">
      <c r="B769" s="13" t="s">
        <v>1</v>
      </c>
      <c r="C769" s="14" t="s">
        <v>0</v>
      </c>
      <c r="D769" s="29" t="s">
        <v>300</v>
      </c>
      <c r="E769" s="30"/>
      <c r="F769" s="31"/>
      <c r="G769" s="15" t="s">
        <v>57</v>
      </c>
      <c r="H769" s="16" t="s">
        <v>128</v>
      </c>
    </row>
    <row r="770" spans="2:8" s="1" customFormat="1" x14ac:dyDescent="0.15">
      <c r="B770" s="32">
        <v>300152</v>
      </c>
      <c r="C770" s="2" t="s">
        <v>2</v>
      </c>
      <c r="D770" s="9">
        <f>ROUND(C12*680,0)</f>
        <v>7140</v>
      </c>
      <c r="E770" s="3" t="s">
        <v>3</v>
      </c>
      <c r="F770" s="11">
        <f>ROUND(C12*880,0)</f>
        <v>9240</v>
      </c>
      <c r="G770" s="4" t="s">
        <v>8</v>
      </c>
      <c r="H770" s="17" t="s">
        <v>129</v>
      </c>
    </row>
    <row r="771" spans="2:8" s="1" customFormat="1" ht="13.5" customHeight="1" x14ac:dyDescent="0.15">
      <c r="B771" s="33"/>
      <c r="C771" s="5" t="s">
        <v>4</v>
      </c>
      <c r="D771" s="9">
        <f>ROUND(C12*880,0)</f>
        <v>9240</v>
      </c>
      <c r="E771" s="6" t="s">
        <v>5</v>
      </c>
      <c r="F771" s="11">
        <f>ROUND(C12*476,0)</f>
        <v>4998</v>
      </c>
      <c r="G771" s="35">
        <v>100</v>
      </c>
      <c r="H771" s="17"/>
    </row>
    <row r="772" spans="2:8" s="1" customFormat="1" ht="13.5" customHeight="1" x14ac:dyDescent="0.15">
      <c r="B772" s="33"/>
      <c r="C772" s="7" t="s">
        <v>6</v>
      </c>
      <c r="D772" s="10">
        <v>7</v>
      </c>
      <c r="E772" s="8" t="s">
        <v>7</v>
      </c>
      <c r="F772" s="12">
        <f>ROUND(C12*530,0)</f>
        <v>5565</v>
      </c>
      <c r="G772" s="36"/>
      <c r="H772" s="17"/>
    </row>
    <row r="773" spans="2:8" s="1" customFormat="1" ht="14.25" thickBot="1" x14ac:dyDescent="0.2">
      <c r="B773" s="34"/>
      <c r="C773" s="18" t="s">
        <v>16</v>
      </c>
      <c r="D773" s="19" t="s">
        <v>432</v>
      </c>
      <c r="E773" s="20" t="s">
        <v>17</v>
      </c>
      <c r="F773" s="21" t="s">
        <v>36</v>
      </c>
      <c r="G773" s="22" t="s">
        <v>20</v>
      </c>
      <c r="H773" s="23" t="s">
        <v>37</v>
      </c>
    </row>
    <row r="774" spans="2:8" s="1" customFormat="1" x14ac:dyDescent="0.15">
      <c r="B774" s="13" t="s">
        <v>1</v>
      </c>
      <c r="C774" s="14" t="s">
        <v>0</v>
      </c>
      <c r="D774" s="29" t="s">
        <v>301</v>
      </c>
      <c r="E774" s="30"/>
      <c r="F774" s="31"/>
      <c r="G774" s="15" t="s">
        <v>57</v>
      </c>
      <c r="H774" s="16" t="s">
        <v>146</v>
      </c>
    </row>
    <row r="775" spans="2:8" s="1" customFormat="1" x14ac:dyDescent="0.15">
      <c r="B775" s="32">
        <v>300153</v>
      </c>
      <c r="C775" s="2" t="s">
        <v>2</v>
      </c>
      <c r="D775" s="9">
        <f>ROUND(C12*680,0)</f>
        <v>7140</v>
      </c>
      <c r="E775" s="3" t="s">
        <v>3</v>
      </c>
      <c r="F775" s="11">
        <f>ROUND(C12*880,0)</f>
        <v>9240</v>
      </c>
      <c r="G775" s="4" t="s">
        <v>8</v>
      </c>
      <c r="H775" s="17" t="s">
        <v>147</v>
      </c>
    </row>
    <row r="776" spans="2:8" s="1" customFormat="1" ht="13.5" customHeight="1" x14ac:dyDescent="0.15">
      <c r="B776" s="33"/>
      <c r="C776" s="5" t="s">
        <v>4</v>
      </c>
      <c r="D776" s="9">
        <f>ROUND(C12*880,0)</f>
        <v>9240</v>
      </c>
      <c r="E776" s="6" t="s">
        <v>5</v>
      </c>
      <c r="F776" s="11">
        <f>ROUND(C12*476,0)</f>
        <v>4998</v>
      </c>
      <c r="G776" s="35">
        <v>100</v>
      </c>
      <c r="H776" s="17"/>
    </row>
    <row r="777" spans="2:8" s="1" customFormat="1" ht="13.5" customHeight="1" x14ac:dyDescent="0.15">
      <c r="B777" s="33"/>
      <c r="C777" s="7" t="s">
        <v>6</v>
      </c>
      <c r="D777" s="10">
        <v>7</v>
      </c>
      <c r="E777" s="8" t="s">
        <v>7</v>
      </c>
      <c r="F777" s="12">
        <f>ROUND(C12*530,0)</f>
        <v>5565</v>
      </c>
      <c r="G777" s="36"/>
      <c r="H777" s="17"/>
    </row>
    <row r="778" spans="2:8" s="1" customFormat="1" ht="14.25" thickBot="1" x14ac:dyDescent="0.2">
      <c r="B778" s="34"/>
      <c r="C778" s="18" t="s">
        <v>16</v>
      </c>
      <c r="D778" s="19" t="s">
        <v>32</v>
      </c>
      <c r="E778" s="20" t="s">
        <v>17</v>
      </c>
      <c r="F778" s="21" t="s">
        <v>36</v>
      </c>
      <c r="G778" s="22" t="s">
        <v>20</v>
      </c>
      <c r="H778" s="23" t="s">
        <v>37</v>
      </c>
    </row>
    <row r="779" spans="2:8" s="1" customFormat="1" x14ac:dyDescent="0.15">
      <c r="B779" s="13" t="s">
        <v>1</v>
      </c>
      <c r="C779" s="14" t="s">
        <v>0</v>
      </c>
      <c r="D779" s="29" t="s">
        <v>302</v>
      </c>
      <c r="E779" s="30"/>
      <c r="F779" s="31"/>
      <c r="G779" s="15" t="s">
        <v>57</v>
      </c>
      <c r="H779" s="16" t="s">
        <v>116</v>
      </c>
    </row>
    <row r="780" spans="2:8" s="1" customFormat="1" x14ac:dyDescent="0.15">
      <c r="B780" s="32">
        <v>300154</v>
      </c>
      <c r="C780" s="2" t="s">
        <v>2</v>
      </c>
      <c r="D780" s="9">
        <f>ROUND(C12*680,0)</f>
        <v>7140</v>
      </c>
      <c r="E780" s="3" t="s">
        <v>3</v>
      </c>
      <c r="F780" s="11">
        <f>ROUND(C12*880,0)</f>
        <v>9240</v>
      </c>
      <c r="G780" s="4" t="s">
        <v>8</v>
      </c>
      <c r="H780" s="17" t="s">
        <v>117</v>
      </c>
    </row>
    <row r="781" spans="2:8" s="1" customFormat="1" ht="13.5" customHeight="1" x14ac:dyDescent="0.15">
      <c r="B781" s="33"/>
      <c r="C781" s="5" t="s">
        <v>4</v>
      </c>
      <c r="D781" s="9">
        <f>ROUND(C12*880,0)</f>
        <v>9240</v>
      </c>
      <c r="E781" s="6" t="s">
        <v>5</v>
      </c>
      <c r="F781" s="11">
        <f>ROUND(C12*476,0)</f>
        <v>4998</v>
      </c>
      <c r="G781" s="35">
        <v>100</v>
      </c>
      <c r="H781" s="17"/>
    </row>
    <row r="782" spans="2:8" s="1" customFormat="1" ht="13.5" customHeight="1" x14ac:dyDescent="0.15">
      <c r="B782" s="33"/>
      <c r="C782" s="7" t="s">
        <v>6</v>
      </c>
      <c r="D782" s="10">
        <v>7</v>
      </c>
      <c r="E782" s="8" t="s">
        <v>7</v>
      </c>
      <c r="F782" s="12">
        <f>ROUND(C12*530,0)</f>
        <v>5565</v>
      </c>
      <c r="G782" s="36"/>
      <c r="H782" s="17"/>
    </row>
    <row r="783" spans="2:8" s="1" customFormat="1" ht="14.25" thickBot="1" x14ac:dyDescent="0.2">
      <c r="B783" s="34"/>
      <c r="C783" s="18" t="s">
        <v>16</v>
      </c>
      <c r="D783" s="19" t="s">
        <v>48</v>
      </c>
      <c r="E783" s="20" t="s">
        <v>17</v>
      </c>
      <c r="F783" s="21" t="s">
        <v>418</v>
      </c>
      <c r="G783" s="22" t="s">
        <v>20</v>
      </c>
      <c r="H783" s="23" t="s">
        <v>37</v>
      </c>
    </row>
    <row r="784" spans="2:8" s="1" customFormat="1" x14ac:dyDescent="0.15">
      <c r="B784" s="13" t="s">
        <v>1</v>
      </c>
      <c r="C784" s="14" t="s">
        <v>0</v>
      </c>
      <c r="D784" s="29" t="s">
        <v>303</v>
      </c>
      <c r="E784" s="30"/>
      <c r="F784" s="31"/>
      <c r="G784" s="15" t="s">
        <v>57</v>
      </c>
      <c r="H784" s="16" t="s">
        <v>131</v>
      </c>
    </row>
    <row r="785" spans="2:8" s="1" customFormat="1" x14ac:dyDescent="0.15">
      <c r="B785" s="32">
        <v>300155</v>
      </c>
      <c r="C785" s="2" t="s">
        <v>2</v>
      </c>
      <c r="D785" s="9">
        <f>ROUND(C12*680,0)</f>
        <v>7140</v>
      </c>
      <c r="E785" s="3" t="s">
        <v>3</v>
      </c>
      <c r="F785" s="11">
        <f>ROUND(C12*880,0)</f>
        <v>9240</v>
      </c>
      <c r="G785" s="4" t="s">
        <v>8</v>
      </c>
      <c r="H785" s="17" t="s">
        <v>132</v>
      </c>
    </row>
    <row r="786" spans="2:8" s="1" customFormat="1" ht="13.5" customHeight="1" x14ac:dyDescent="0.15">
      <c r="B786" s="33"/>
      <c r="C786" s="5" t="s">
        <v>4</v>
      </c>
      <c r="D786" s="9">
        <f>ROUND(C12*880,0)</f>
        <v>9240</v>
      </c>
      <c r="E786" s="6" t="s">
        <v>5</v>
      </c>
      <c r="F786" s="11">
        <f>ROUND(C12*476,0)</f>
        <v>4998</v>
      </c>
      <c r="G786" s="35">
        <v>100</v>
      </c>
      <c r="H786" s="17"/>
    </row>
    <row r="787" spans="2:8" s="1" customFormat="1" ht="13.5" customHeight="1" x14ac:dyDescent="0.15">
      <c r="B787" s="33"/>
      <c r="C787" s="7" t="s">
        <v>6</v>
      </c>
      <c r="D787" s="10">
        <v>7</v>
      </c>
      <c r="E787" s="8" t="s">
        <v>7</v>
      </c>
      <c r="F787" s="12">
        <f>ROUND(C12*530,0)</f>
        <v>5565</v>
      </c>
      <c r="G787" s="36"/>
      <c r="H787" s="17"/>
    </row>
    <row r="788" spans="2:8" s="1" customFormat="1" ht="14.25" thickBot="1" x14ac:dyDescent="0.2">
      <c r="B788" s="34"/>
      <c r="C788" s="18" t="s">
        <v>16</v>
      </c>
      <c r="D788" s="19" t="s">
        <v>33</v>
      </c>
      <c r="E788" s="20" t="s">
        <v>17</v>
      </c>
      <c r="F788" s="21" t="s">
        <v>54</v>
      </c>
      <c r="G788" s="22" t="s">
        <v>20</v>
      </c>
      <c r="H788" s="23" t="s">
        <v>37</v>
      </c>
    </row>
    <row r="789" spans="2:8" s="1" customFormat="1" x14ac:dyDescent="0.15">
      <c r="B789" s="13" t="s">
        <v>1</v>
      </c>
      <c r="C789" s="14" t="s">
        <v>0</v>
      </c>
      <c r="D789" s="29" t="s">
        <v>304</v>
      </c>
      <c r="E789" s="30"/>
      <c r="F789" s="31"/>
      <c r="G789" s="15" t="s">
        <v>57</v>
      </c>
      <c r="H789" s="16" t="s">
        <v>143</v>
      </c>
    </row>
    <row r="790" spans="2:8" s="1" customFormat="1" x14ac:dyDescent="0.15">
      <c r="B790" s="32">
        <v>300156</v>
      </c>
      <c r="C790" s="2" t="s">
        <v>2</v>
      </c>
      <c r="D790" s="9">
        <f>ROUND(C12*680,0)</f>
        <v>7140</v>
      </c>
      <c r="E790" s="3" t="s">
        <v>3</v>
      </c>
      <c r="F790" s="11">
        <f>ROUND(C12*880,0)</f>
        <v>9240</v>
      </c>
      <c r="G790" s="4" t="s">
        <v>8</v>
      </c>
      <c r="H790" s="17" t="s">
        <v>144</v>
      </c>
    </row>
    <row r="791" spans="2:8" s="1" customFormat="1" ht="13.5" customHeight="1" x14ac:dyDescent="0.15">
      <c r="B791" s="33"/>
      <c r="C791" s="5" t="s">
        <v>4</v>
      </c>
      <c r="D791" s="9">
        <f>ROUND(C12*880,0)</f>
        <v>9240</v>
      </c>
      <c r="E791" s="6" t="s">
        <v>5</v>
      </c>
      <c r="F791" s="11">
        <f>ROUND(C12*476,0)</f>
        <v>4998</v>
      </c>
      <c r="G791" s="35">
        <v>50</v>
      </c>
      <c r="H791" s="17"/>
    </row>
    <row r="792" spans="2:8" s="1" customFormat="1" ht="13.5" customHeight="1" x14ac:dyDescent="0.15">
      <c r="B792" s="33"/>
      <c r="C792" s="7" t="s">
        <v>6</v>
      </c>
      <c r="D792" s="10">
        <v>7</v>
      </c>
      <c r="E792" s="8" t="s">
        <v>7</v>
      </c>
      <c r="F792" s="12">
        <f>ROUND(C12*480,0)</f>
        <v>5040</v>
      </c>
      <c r="G792" s="36"/>
      <c r="H792" s="17"/>
    </row>
    <row r="793" spans="2:8" s="1" customFormat="1" ht="14.25" thickBot="1" x14ac:dyDescent="0.2">
      <c r="B793" s="34"/>
      <c r="C793" s="18" t="s">
        <v>16</v>
      </c>
      <c r="D793" s="19" t="s">
        <v>52</v>
      </c>
      <c r="E793" s="20" t="s">
        <v>17</v>
      </c>
      <c r="F793" s="21" t="s">
        <v>51</v>
      </c>
      <c r="G793" s="22" t="s">
        <v>20</v>
      </c>
      <c r="H793" s="23" t="s">
        <v>262</v>
      </c>
    </row>
    <row r="794" spans="2:8" s="1" customFormat="1" x14ac:dyDescent="0.15">
      <c r="B794" s="13" t="s">
        <v>1</v>
      </c>
      <c r="C794" s="14" t="s">
        <v>0</v>
      </c>
      <c r="D794" s="29" t="s">
        <v>305</v>
      </c>
      <c r="E794" s="30"/>
      <c r="F794" s="31"/>
      <c r="G794" s="15" t="s">
        <v>57</v>
      </c>
      <c r="H794" s="16" t="s">
        <v>167</v>
      </c>
    </row>
    <row r="795" spans="2:8" s="1" customFormat="1" x14ac:dyDescent="0.15">
      <c r="B795" s="32">
        <v>300157</v>
      </c>
      <c r="C795" s="2" t="s">
        <v>2</v>
      </c>
      <c r="D795" s="9">
        <f>ROUND(C12*680,0)</f>
        <v>7140</v>
      </c>
      <c r="E795" s="3" t="s">
        <v>3</v>
      </c>
      <c r="F795" s="11">
        <f>ROUND(C12*880,0)</f>
        <v>9240</v>
      </c>
      <c r="G795" s="4" t="s">
        <v>8</v>
      </c>
      <c r="H795" s="17" t="s">
        <v>168</v>
      </c>
    </row>
    <row r="796" spans="2:8" s="1" customFormat="1" ht="13.5" customHeight="1" x14ac:dyDescent="0.15">
      <c r="B796" s="33"/>
      <c r="C796" s="5" t="s">
        <v>4</v>
      </c>
      <c r="D796" s="9">
        <f>ROUND(C12*880,0)</f>
        <v>9240</v>
      </c>
      <c r="E796" s="6" t="s">
        <v>5</v>
      </c>
      <c r="F796" s="11">
        <f>ROUND(C12*476,0)</f>
        <v>4998</v>
      </c>
      <c r="G796" s="35">
        <v>50</v>
      </c>
      <c r="H796" s="17"/>
    </row>
    <row r="797" spans="2:8" s="1" customFormat="1" ht="13.5" customHeight="1" x14ac:dyDescent="0.15">
      <c r="B797" s="33"/>
      <c r="C797" s="7" t="s">
        <v>6</v>
      </c>
      <c r="D797" s="10">
        <v>7</v>
      </c>
      <c r="E797" s="8" t="s">
        <v>7</v>
      </c>
      <c r="F797" s="12">
        <f>ROUND(C12*480,0)</f>
        <v>5040</v>
      </c>
      <c r="G797" s="36"/>
      <c r="H797" s="17"/>
    </row>
    <row r="798" spans="2:8" s="1" customFormat="1" ht="14.25" thickBot="1" x14ac:dyDescent="0.2">
      <c r="B798" s="34"/>
      <c r="C798" s="18" t="s">
        <v>16</v>
      </c>
      <c r="D798" s="19" t="s">
        <v>48</v>
      </c>
      <c r="E798" s="20" t="s">
        <v>17</v>
      </c>
      <c r="F798" s="21" t="s">
        <v>49</v>
      </c>
      <c r="G798" s="22" t="s">
        <v>20</v>
      </c>
      <c r="H798" s="23" t="s">
        <v>183</v>
      </c>
    </row>
    <row r="799" spans="2:8" s="1" customFormat="1" x14ac:dyDescent="0.15">
      <c r="B799" s="13" t="s">
        <v>1</v>
      </c>
      <c r="C799" s="14" t="s">
        <v>0</v>
      </c>
      <c r="D799" s="29" t="s">
        <v>306</v>
      </c>
      <c r="E799" s="30"/>
      <c r="F799" s="31"/>
      <c r="G799" s="15" t="s">
        <v>57</v>
      </c>
      <c r="H799" s="16" t="s">
        <v>41</v>
      </c>
    </row>
    <row r="800" spans="2:8" s="1" customFormat="1" x14ac:dyDescent="0.15">
      <c r="B800" s="32">
        <v>300158</v>
      </c>
      <c r="C800" s="2" t="s">
        <v>2</v>
      </c>
      <c r="D800" s="9">
        <f>ROUND(C12*680,0)</f>
        <v>7140</v>
      </c>
      <c r="E800" s="3" t="s">
        <v>3</v>
      </c>
      <c r="F800" s="11">
        <f>ROUND(C12*880,0)</f>
        <v>9240</v>
      </c>
      <c r="G800" s="4" t="s">
        <v>8</v>
      </c>
      <c r="H800" s="17" t="s">
        <v>25</v>
      </c>
    </row>
    <row r="801" spans="2:8" s="1" customFormat="1" ht="13.5" customHeight="1" x14ac:dyDescent="0.15">
      <c r="B801" s="33"/>
      <c r="C801" s="5" t="s">
        <v>4</v>
      </c>
      <c r="D801" s="9">
        <f>ROUND(C12*880,0)</f>
        <v>9240</v>
      </c>
      <c r="E801" s="6" t="s">
        <v>5</v>
      </c>
      <c r="F801" s="11">
        <f>ROUND(C12*476,0)</f>
        <v>4998</v>
      </c>
      <c r="G801" s="35">
        <v>100</v>
      </c>
      <c r="H801" s="17"/>
    </row>
    <row r="802" spans="2:8" s="1" customFormat="1" ht="13.5" customHeight="1" x14ac:dyDescent="0.15">
      <c r="B802" s="33"/>
      <c r="C802" s="7" t="s">
        <v>6</v>
      </c>
      <c r="D802" s="10">
        <v>7</v>
      </c>
      <c r="E802" s="8" t="s">
        <v>7</v>
      </c>
      <c r="F802" s="12">
        <f>ROUND(C12*480,0)</f>
        <v>5040</v>
      </c>
      <c r="G802" s="36"/>
      <c r="H802" s="17"/>
    </row>
    <row r="803" spans="2:8" s="1" customFormat="1" ht="14.25" thickBot="1" x14ac:dyDescent="0.2">
      <c r="B803" s="34"/>
      <c r="C803" s="18" t="s">
        <v>16</v>
      </c>
      <c r="D803" s="19" t="s">
        <v>402</v>
      </c>
      <c r="E803" s="20" t="s">
        <v>17</v>
      </c>
      <c r="F803" s="21" t="s">
        <v>51</v>
      </c>
      <c r="G803" s="22" t="s">
        <v>20</v>
      </c>
      <c r="H803" s="23" t="s">
        <v>37</v>
      </c>
    </row>
    <row r="804" spans="2:8" s="1" customFormat="1" x14ac:dyDescent="0.15">
      <c r="B804" s="13" t="s">
        <v>1</v>
      </c>
      <c r="C804" s="14" t="s">
        <v>0</v>
      </c>
      <c r="D804" s="29" t="s">
        <v>307</v>
      </c>
      <c r="E804" s="30"/>
      <c r="F804" s="31"/>
      <c r="G804" s="15" t="s">
        <v>57</v>
      </c>
      <c r="H804" s="16" t="s">
        <v>55</v>
      </c>
    </row>
    <row r="805" spans="2:8" s="1" customFormat="1" x14ac:dyDescent="0.15">
      <c r="B805" s="32">
        <v>300159</v>
      </c>
      <c r="C805" s="2" t="s">
        <v>2</v>
      </c>
      <c r="D805" s="9">
        <f>ROUND(C12*680,0)</f>
        <v>7140</v>
      </c>
      <c r="E805" s="3" t="s">
        <v>3</v>
      </c>
      <c r="F805" s="11">
        <f>ROUND(C12*1936,0)</f>
        <v>20328</v>
      </c>
      <c r="G805" s="4" t="s">
        <v>8</v>
      </c>
      <c r="H805" s="17" t="s">
        <v>30</v>
      </c>
    </row>
    <row r="806" spans="2:8" s="1" customFormat="1" ht="13.5" customHeight="1" x14ac:dyDescent="0.15">
      <c r="B806" s="33"/>
      <c r="C806" s="5" t="s">
        <v>4</v>
      </c>
      <c r="D806" s="9">
        <f>ROUND(C12*880,0)</f>
        <v>9240</v>
      </c>
      <c r="E806" s="6" t="s">
        <v>5</v>
      </c>
      <c r="F806" s="11">
        <f>ROUND(C12*980,0)</f>
        <v>10290</v>
      </c>
      <c r="G806" s="35">
        <v>100</v>
      </c>
      <c r="H806" s="17"/>
    </row>
    <row r="807" spans="2:8" s="1" customFormat="1" ht="13.5" customHeight="1" x14ac:dyDescent="0.15">
      <c r="B807" s="33"/>
      <c r="C807" s="7" t="s">
        <v>6</v>
      </c>
      <c r="D807" s="10">
        <v>4</v>
      </c>
      <c r="E807" s="8" t="s">
        <v>7</v>
      </c>
      <c r="F807" s="12">
        <f>ROUND(C12*530,0)</f>
        <v>5565</v>
      </c>
      <c r="G807" s="36"/>
      <c r="H807" s="17"/>
    </row>
    <row r="808" spans="2:8" s="1" customFormat="1" ht="14.25" thickBot="1" x14ac:dyDescent="0.2">
      <c r="B808" s="34"/>
      <c r="C808" s="18" t="s">
        <v>16</v>
      </c>
      <c r="D808" s="19" t="s">
        <v>48</v>
      </c>
      <c r="E808" s="20" t="s">
        <v>17</v>
      </c>
      <c r="F808" s="21" t="s">
        <v>56</v>
      </c>
      <c r="G808" s="22" t="s">
        <v>20</v>
      </c>
      <c r="H808" s="23" t="s">
        <v>37</v>
      </c>
    </row>
    <row r="809" spans="2:8" s="1" customFormat="1" x14ac:dyDescent="0.15">
      <c r="B809" s="13" t="s">
        <v>1</v>
      </c>
      <c r="C809" s="14" t="s">
        <v>0</v>
      </c>
      <c r="D809" s="29" t="s">
        <v>308</v>
      </c>
      <c r="E809" s="30"/>
      <c r="F809" s="31"/>
      <c r="G809" s="15" t="s">
        <v>57</v>
      </c>
      <c r="H809" s="16" t="s">
        <v>77</v>
      </c>
    </row>
    <row r="810" spans="2:8" s="1" customFormat="1" x14ac:dyDescent="0.15">
      <c r="B810" s="32">
        <v>300160</v>
      </c>
      <c r="C810" s="2" t="s">
        <v>2</v>
      </c>
      <c r="D810" s="9">
        <f>ROUND(C12*680,0)</f>
        <v>7140</v>
      </c>
      <c r="E810" s="3" t="s">
        <v>3</v>
      </c>
      <c r="F810" s="11">
        <f>ROUND(C12*1936,0)</f>
        <v>20328</v>
      </c>
      <c r="G810" s="4" t="s">
        <v>8</v>
      </c>
      <c r="H810" s="17" t="s">
        <v>78</v>
      </c>
    </row>
    <row r="811" spans="2:8" s="1" customFormat="1" ht="13.5" customHeight="1" x14ac:dyDescent="0.15">
      <c r="B811" s="33"/>
      <c r="C811" s="5" t="s">
        <v>4</v>
      </c>
      <c r="D811" s="9">
        <f>ROUND(C12*880,0)</f>
        <v>9240</v>
      </c>
      <c r="E811" s="6" t="s">
        <v>5</v>
      </c>
      <c r="F811" s="11">
        <f>ROUND(C12*980,0)</f>
        <v>10290</v>
      </c>
      <c r="G811" s="35">
        <v>100</v>
      </c>
      <c r="H811" s="17"/>
    </row>
    <row r="812" spans="2:8" s="1" customFormat="1" ht="13.5" customHeight="1" x14ac:dyDescent="0.15">
      <c r="B812" s="33"/>
      <c r="C812" s="7" t="s">
        <v>6</v>
      </c>
      <c r="D812" s="10">
        <v>4</v>
      </c>
      <c r="E812" s="8" t="s">
        <v>7</v>
      </c>
      <c r="F812" s="12">
        <f>ROUND(C12*530,0)</f>
        <v>5565</v>
      </c>
      <c r="G812" s="36"/>
      <c r="H812" s="17"/>
    </row>
    <row r="813" spans="2:8" s="1" customFormat="1" ht="14.25" thickBot="1" x14ac:dyDescent="0.2">
      <c r="B813" s="34"/>
      <c r="C813" s="18" t="s">
        <v>16</v>
      </c>
      <c r="D813" s="19" t="s">
        <v>85</v>
      </c>
      <c r="E813" s="20" t="s">
        <v>17</v>
      </c>
      <c r="F813" s="21" t="s">
        <v>418</v>
      </c>
      <c r="G813" s="22" t="s">
        <v>20</v>
      </c>
      <c r="H813" s="23" t="s">
        <v>37</v>
      </c>
    </row>
    <row r="814" spans="2:8" s="1" customFormat="1" x14ac:dyDescent="0.15">
      <c r="B814" s="13" t="s">
        <v>1</v>
      </c>
      <c r="C814" s="14" t="s">
        <v>0</v>
      </c>
      <c r="D814" s="29" t="s">
        <v>309</v>
      </c>
      <c r="E814" s="30"/>
      <c r="F814" s="31"/>
      <c r="G814" s="15" t="s">
        <v>57</v>
      </c>
      <c r="H814" s="16" t="s">
        <v>50</v>
      </c>
    </row>
    <row r="815" spans="2:8" s="1" customFormat="1" x14ac:dyDescent="0.15">
      <c r="B815" s="32">
        <v>300161</v>
      </c>
      <c r="C815" s="2" t="s">
        <v>2</v>
      </c>
      <c r="D815" s="9">
        <f>ROUND(C12*680,0)</f>
        <v>7140</v>
      </c>
      <c r="E815" s="3" t="s">
        <v>3</v>
      </c>
      <c r="F815" s="11">
        <f>ROUND(C12*1936,0)</f>
        <v>20328</v>
      </c>
      <c r="G815" s="4" t="s">
        <v>8</v>
      </c>
      <c r="H815" s="17" t="s">
        <v>29</v>
      </c>
    </row>
    <row r="816" spans="2:8" s="1" customFormat="1" ht="13.5" customHeight="1" x14ac:dyDescent="0.15">
      <c r="B816" s="33"/>
      <c r="C816" s="5" t="s">
        <v>4</v>
      </c>
      <c r="D816" s="9">
        <f>ROUND(C12*880,0)</f>
        <v>9240</v>
      </c>
      <c r="E816" s="6" t="s">
        <v>5</v>
      </c>
      <c r="F816" s="11">
        <f>ROUND(C12*980,0)</f>
        <v>10290</v>
      </c>
      <c r="G816" s="35">
        <v>100</v>
      </c>
      <c r="H816" s="17"/>
    </row>
    <row r="817" spans="2:8" s="1" customFormat="1" ht="13.5" customHeight="1" x14ac:dyDescent="0.15">
      <c r="B817" s="33"/>
      <c r="C817" s="7" t="s">
        <v>6</v>
      </c>
      <c r="D817" s="10">
        <v>4</v>
      </c>
      <c r="E817" s="8" t="s">
        <v>7</v>
      </c>
      <c r="F817" s="12">
        <f>ROUND(C12*530,0)</f>
        <v>5565</v>
      </c>
      <c r="G817" s="36"/>
      <c r="H817" s="17"/>
    </row>
    <row r="818" spans="2:8" s="1" customFormat="1" ht="14.25" thickBot="1" x14ac:dyDescent="0.2">
      <c r="B818" s="34"/>
      <c r="C818" s="18" t="s">
        <v>16</v>
      </c>
      <c r="D818" s="19" t="s">
        <v>71</v>
      </c>
      <c r="E818" s="20" t="s">
        <v>17</v>
      </c>
      <c r="F818" s="21" t="s">
        <v>51</v>
      </c>
      <c r="G818" s="22" t="s">
        <v>20</v>
      </c>
      <c r="H818" s="23" t="s">
        <v>37</v>
      </c>
    </row>
    <row r="819" spans="2:8" s="1" customFormat="1" x14ac:dyDescent="0.15">
      <c r="B819" s="13" t="s">
        <v>1</v>
      </c>
      <c r="C819" s="14" t="s">
        <v>0</v>
      </c>
      <c r="D819" s="29" t="s">
        <v>310</v>
      </c>
      <c r="E819" s="30"/>
      <c r="F819" s="31"/>
      <c r="G819" s="15" t="s">
        <v>57</v>
      </c>
      <c r="H819" s="16" t="s">
        <v>46</v>
      </c>
    </row>
    <row r="820" spans="2:8" s="1" customFormat="1" x14ac:dyDescent="0.15">
      <c r="B820" s="32">
        <v>300162</v>
      </c>
      <c r="C820" s="2" t="s">
        <v>2</v>
      </c>
      <c r="D820" s="9">
        <f>ROUND(C12*680,0)</f>
        <v>7140</v>
      </c>
      <c r="E820" s="3" t="s">
        <v>3</v>
      </c>
      <c r="F820" s="11">
        <f>ROUND(C12*880,0)</f>
        <v>9240</v>
      </c>
      <c r="G820" s="4" t="s">
        <v>8</v>
      </c>
      <c r="H820" s="17" t="s">
        <v>27</v>
      </c>
    </row>
    <row r="821" spans="2:8" s="1" customFormat="1" ht="13.5" customHeight="1" x14ac:dyDescent="0.15">
      <c r="B821" s="33"/>
      <c r="C821" s="5" t="s">
        <v>4</v>
      </c>
      <c r="D821" s="9">
        <f>ROUND(C12*880,0)</f>
        <v>9240</v>
      </c>
      <c r="E821" s="6" t="s">
        <v>5</v>
      </c>
      <c r="F821" s="11">
        <f>ROUND(C12*476,0)</f>
        <v>4998</v>
      </c>
      <c r="G821" s="35">
        <v>100</v>
      </c>
      <c r="H821" s="17"/>
    </row>
    <row r="822" spans="2:8" s="1" customFormat="1" ht="13.5" customHeight="1" x14ac:dyDescent="0.15">
      <c r="B822" s="33"/>
      <c r="C822" s="7" t="s">
        <v>6</v>
      </c>
      <c r="D822" s="10">
        <v>7</v>
      </c>
      <c r="E822" s="8" t="s">
        <v>7</v>
      </c>
      <c r="F822" s="12">
        <f>ROUND(C12*530,0)</f>
        <v>5565</v>
      </c>
      <c r="G822" s="36"/>
      <c r="H822" s="17"/>
    </row>
    <row r="823" spans="2:8" s="1" customFormat="1" ht="14.25" thickBot="1" x14ac:dyDescent="0.2">
      <c r="B823" s="34"/>
      <c r="C823" s="18" t="s">
        <v>16</v>
      </c>
      <c r="D823" s="19" t="s">
        <v>82</v>
      </c>
      <c r="E823" s="20" t="s">
        <v>17</v>
      </c>
      <c r="F823" s="21" t="s">
        <v>54</v>
      </c>
      <c r="G823" s="22" t="s">
        <v>20</v>
      </c>
      <c r="H823" s="23" t="s">
        <v>37</v>
      </c>
    </row>
    <row r="824" spans="2:8" s="1" customFormat="1" x14ac:dyDescent="0.15">
      <c r="B824" s="13" t="s">
        <v>1</v>
      </c>
      <c r="C824" s="14" t="s">
        <v>0</v>
      </c>
      <c r="D824" s="29" t="s">
        <v>311</v>
      </c>
      <c r="E824" s="30"/>
      <c r="F824" s="31"/>
      <c r="G824" s="15" t="s">
        <v>57</v>
      </c>
      <c r="H824" s="16" t="s">
        <v>98</v>
      </c>
    </row>
    <row r="825" spans="2:8" s="1" customFormat="1" x14ac:dyDescent="0.15">
      <c r="B825" s="32">
        <v>300163</v>
      </c>
      <c r="C825" s="2" t="s">
        <v>2</v>
      </c>
      <c r="D825" s="9">
        <f>ROUND(C12*680,0)</f>
        <v>7140</v>
      </c>
      <c r="E825" s="3" t="s">
        <v>3</v>
      </c>
      <c r="F825" s="11">
        <f>ROUND(C12*1936,0)</f>
        <v>20328</v>
      </c>
      <c r="G825" s="4" t="s">
        <v>8</v>
      </c>
      <c r="H825" s="17" t="s">
        <v>99</v>
      </c>
    </row>
    <row r="826" spans="2:8" s="1" customFormat="1" ht="13.5" customHeight="1" x14ac:dyDescent="0.15">
      <c r="B826" s="33"/>
      <c r="C826" s="5" t="s">
        <v>4</v>
      </c>
      <c r="D826" s="9">
        <f>ROUND(C12*880,0)</f>
        <v>9240</v>
      </c>
      <c r="E826" s="6" t="s">
        <v>5</v>
      </c>
      <c r="F826" s="11">
        <f>ROUND(C12*980,0)</f>
        <v>10290</v>
      </c>
      <c r="G826" s="35">
        <v>100</v>
      </c>
      <c r="H826" s="17"/>
    </row>
    <row r="827" spans="2:8" s="1" customFormat="1" ht="13.5" customHeight="1" x14ac:dyDescent="0.15">
      <c r="B827" s="33"/>
      <c r="C827" s="7" t="s">
        <v>6</v>
      </c>
      <c r="D827" s="10">
        <v>4</v>
      </c>
      <c r="E827" s="8" t="s">
        <v>7</v>
      </c>
      <c r="F827" s="12">
        <f>ROUND(C12*530,0)</f>
        <v>5565</v>
      </c>
      <c r="G827" s="36"/>
      <c r="H827" s="17"/>
    </row>
    <row r="828" spans="2:8" s="1" customFormat="1" ht="14.25" thickBot="1" x14ac:dyDescent="0.2">
      <c r="B828" s="34"/>
      <c r="C828" s="18" t="s">
        <v>16</v>
      </c>
      <c r="D828" s="19" t="s">
        <v>100</v>
      </c>
      <c r="E828" s="20" t="s">
        <v>17</v>
      </c>
      <c r="F828" s="21" t="s">
        <v>218</v>
      </c>
      <c r="G828" s="22" t="s">
        <v>20</v>
      </c>
      <c r="H828" s="23" t="s">
        <v>37</v>
      </c>
    </row>
    <row r="829" spans="2:8" s="1" customFormat="1" x14ac:dyDescent="0.15">
      <c r="B829" s="13" t="s">
        <v>1</v>
      </c>
      <c r="C829" s="14" t="s">
        <v>0</v>
      </c>
      <c r="D829" s="29" t="s">
        <v>312</v>
      </c>
      <c r="E829" s="30"/>
      <c r="F829" s="31"/>
      <c r="G829" s="15" t="s">
        <v>57</v>
      </c>
      <c r="H829" s="16" t="s">
        <v>108</v>
      </c>
    </row>
    <row r="830" spans="2:8" s="1" customFormat="1" x14ac:dyDescent="0.15">
      <c r="B830" s="32">
        <v>300164</v>
      </c>
      <c r="C830" s="2" t="s">
        <v>2</v>
      </c>
      <c r="D830" s="9">
        <f>ROUND(C12*680,0)</f>
        <v>7140</v>
      </c>
      <c r="E830" s="3" t="s">
        <v>3</v>
      </c>
      <c r="F830" s="11">
        <f>ROUND(C12*1936,0)</f>
        <v>20328</v>
      </c>
      <c r="G830" s="4" t="s">
        <v>8</v>
      </c>
      <c r="H830" s="17" t="s">
        <v>109</v>
      </c>
    </row>
    <row r="831" spans="2:8" s="1" customFormat="1" ht="13.5" customHeight="1" x14ac:dyDescent="0.15">
      <c r="B831" s="33"/>
      <c r="C831" s="5" t="s">
        <v>4</v>
      </c>
      <c r="D831" s="9">
        <f>ROUND(C12*880,0)</f>
        <v>9240</v>
      </c>
      <c r="E831" s="6" t="s">
        <v>5</v>
      </c>
      <c r="F831" s="11">
        <f>ROUND(C12*980,0)</f>
        <v>10290</v>
      </c>
      <c r="G831" s="35">
        <v>100</v>
      </c>
      <c r="H831" s="17"/>
    </row>
    <row r="832" spans="2:8" s="1" customFormat="1" ht="13.5" customHeight="1" x14ac:dyDescent="0.15">
      <c r="B832" s="33"/>
      <c r="C832" s="7" t="s">
        <v>6</v>
      </c>
      <c r="D832" s="10">
        <v>4</v>
      </c>
      <c r="E832" s="8" t="s">
        <v>7</v>
      </c>
      <c r="F832" s="12">
        <f>ROUND(C12*530,0)</f>
        <v>5565</v>
      </c>
      <c r="G832" s="36"/>
      <c r="H832" s="17"/>
    </row>
    <row r="833" spans="2:8" s="1" customFormat="1" ht="14.25" thickBot="1" x14ac:dyDescent="0.2">
      <c r="B833" s="34"/>
      <c r="C833" s="18" t="s">
        <v>16</v>
      </c>
      <c r="D833" s="19" t="s">
        <v>396</v>
      </c>
      <c r="E833" s="20" t="s">
        <v>17</v>
      </c>
      <c r="F833" s="21" t="s">
        <v>33</v>
      </c>
      <c r="G833" s="22" t="s">
        <v>20</v>
      </c>
      <c r="H833" s="23" t="s">
        <v>37</v>
      </c>
    </row>
    <row r="834" spans="2:8" s="1" customFormat="1" x14ac:dyDescent="0.15">
      <c r="B834" s="13" t="s">
        <v>1</v>
      </c>
      <c r="C834" s="14" t="s">
        <v>0</v>
      </c>
      <c r="D834" s="29" t="s">
        <v>313</v>
      </c>
      <c r="E834" s="30"/>
      <c r="F834" s="31"/>
      <c r="G834" s="15" t="s">
        <v>57</v>
      </c>
      <c r="H834" s="16" t="s">
        <v>46</v>
      </c>
    </row>
    <row r="835" spans="2:8" s="1" customFormat="1" x14ac:dyDescent="0.15">
      <c r="B835" s="32">
        <v>300165</v>
      </c>
      <c r="C835" s="2" t="s">
        <v>2</v>
      </c>
      <c r="D835" s="9">
        <f>ROUND(C12*680,0)</f>
        <v>7140</v>
      </c>
      <c r="E835" s="3" t="s">
        <v>3</v>
      </c>
      <c r="F835" s="11">
        <f>ROUND(C12*880,0)</f>
        <v>9240</v>
      </c>
      <c r="G835" s="4" t="s">
        <v>8</v>
      </c>
      <c r="H835" s="17" t="s">
        <v>27</v>
      </c>
    </row>
    <row r="836" spans="2:8" s="1" customFormat="1" ht="13.5" customHeight="1" x14ac:dyDescent="0.15">
      <c r="B836" s="33"/>
      <c r="C836" s="5" t="s">
        <v>4</v>
      </c>
      <c r="D836" s="9">
        <f>ROUND(C12*880,0)</f>
        <v>9240</v>
      </c>
      <c r="E836" s="6" t="s">
        <v>5</v>
      </c>
      <c r="F836" s="11">
        <f>ROUND(C12*476,0)</f>
        <v>4998</v>
      </c>
      <c r="G836" s="35">
        <v>100</v>
      </c>
      <c r="H836" s="17"/>
    </row>
    <row r="837" spans="2:8" s="1" customFormat="1" ht="13.5" customHeight="1" x14ac:dyDescent="0.15">
      <c r="B837" s="33"/>
      <c r="C837" s="7" t="s">
        <v>6</v>
      </c>
      <c r="D837" s="10">
        <v>7</v>
      </c>
      <c r="E837" s="8" t="s">
        <v>7</v>
      </c>
      <c r="F837" s="12">
        <f>ROUND(C12*530,0)</f>
        <v>5565</v>
      </c>
      <c r="G837" s="36"/>
      <c r="H837" s="17"/>
    </row>
    <row r="838" spans="2:8" s="1" customFormat="1" ht="14.25" thickBot="1" x14ac:dyDescent="0.2">
      <c r="B838" s="34"/>
      <c r="C838" s="18" t="s">
        <v>16</v>
      </c>
      <c r="D838" s="19" t="s">
        <v>54</v>
      </c>
      <c r="E838" s="20" t="s">
        <v>17</v>
      </c>
      <c r="F838" s="21" t="s">
        <v>51</v>
      </c>
      <c r="G838" s="22" t="s">
        <v>20</v>
      </c>
      <c r="H838" s="23" t="s">
        <v>37</v>
      </c>
    </row>
    <row r="839" spans="2:8" s="1" customFormat="1" x14ac:dyDescent="0.15">
      <c r="B839" s="13" t="s">
        <v>1</v>
      </c>
      <c r="C839" s="14" t="s">
        <v>0</v>
      </c>
      <c r="D839" s="29" t="s">
        <v>314</v>
      </c>
      <c r="E839" s="30"/>
      <c r="F839" s="31"/>
      <c r="G839" s="15" t="s">
        <v>57</v>
      </c>
      <c r="H839" s="16" t="s">
        <v>188</v>
      </c>
    </row>
    <row r="840" spans="2:8" s="1" customFormat="1" x14ac:dyDescent="0.15">
      <c r="B840" s="32">
        <v>300166</v>
      </c>
      <c r="C840" s="2" t="s">
        <v>2</v>
      </c>
      <c r="D840" s="9">
        <f>ROUND(C12*680,0)</f>
        <v>7140</v>
      </c>
      <c r="E840" s="3" t="s">
        <v>3</v>
      </c>
      <c r="F840" s="11">
        <f>ROUND(C12*880,0)</f>
        <v>9240</v>
      </c>
      <c r="G840" s="4" t="s">
        <v>8</v>
      </c>
      <c r="H840" s="17" t="s">
        <v>189</v>
      </c>
    </row>
    <row r="841" spans="2:8" s="1" customFormat="1" ht="13.5" customHeight="1" x14ac:dyDescent="0.15">
      <c r="B841" s="33"/>
      <c r="C841" s="5" t="s">
        <v>4</v>
      </c>
      <c r="D841" s="9">
        <f>ROUND(C12*880,0)</f>
        <v>9240</v>
      </c>
      <c r="E841" s="6" t="s">
        <v>5</v>
      </c>
      <c r="F841" s="11">
        <f>ROUND(C12*476,0)</f>
        <v>4998</v>
      </c>
      <c r="G841" s="35">
        <v>50</v>
      </c>
      <c r="H841" s="17"/>
    </row>
    <row r="842" spans="2:8" s="1" customFormat="1" ht="13.5" customHeight="1" x14ac:dyDescent="0.15">
      <c r="B842" s="33"/>
      <c r="C842" s="7" t="s">
        <v>6</v>
      </c>
      <c r="D842" s="10">
        <v>7</v>
      </c>
      <c r="E842" s="8" t="s">
        <v>7</v>
      </c>
      <c r="F842" s="12">
        <f>ROUND(C12*370,0)</f>
        <v>3885</v>
      </c>
      <c r="G842" s="36"/>
      <c r="H842" s="17"/>
    </row>
    <row r="843" spans="2:8" s="1" customFormat="1" ht="14.25" thickBot="1" x14ac:dyDescent="0.2">
      <c r="B843" s="34"/>
      <c r="C843" s="18" t="s">
        <v>16</v>
      </c>
      <c r="D843" s="19" t="s">
        <v>85</v>
      </c>
      <c r="E843" s="20" t="s">
        <v>17</v>
      </c>
      <c r="F843" s="21" t="s">
        <v>49</v>
      </c>
      <c r="G843" s="22" t="s">
        <v>20</v>
      </c>
      <c r="H843" s="23" t="s">
        <v>121</v>
      </c>
    </row>
    <row r="844" spans="2:8" s="1" customFormat="1" x14ac:dyDescent="0.15">
      <c r="B844" s="13" t="s">
        <v>1</v>
      </c>
      <c r="C844" s="14" t="s">
        <v>0</v>
      </c>
      <c r="D844" s="29" t="s">
        <v>315</v>
      </c>
      <c r="E844" s="30"/>
      <c r="F844" s="31"/>
      <c r="G844" s="15" t="s">
        <v>57</v>
      </c>
      <c r="H844" s="16" t="s">
        <v>80</v>
      </c>
    </row>
    <row r="845" spans="2:8" s="1" customFormat="1" x14ac:dyDescent="0.15">
      <c r="B845" s="32">
        <v>300167</v>
      </c>
      <c r="C845" s="2" t="s">
        <v>2</v>
      </c>
      <c r="D845" s="9">
        <f>ROUND(C12*680,0)</f>
        <v>7140</v>
      </c>
      <c r="E845" s="3" t="s">
        <v>3</v>
      </c>
      <c r="F845" s="11">
        <f>ROUND(C12*880,0)</f>
        <v>9240</v>
      </c>
      <c r="G845" s="4" t="s">
        <v>8</v>
      </c>
      <c r="H845" s="17" t="s">
        <v>81</v>
      </c>
    </row>
    <row r="846" spans="2:8" s="1" customFormat="1" ht="13.5" customHeight="1" x14ac:dyDescent="0.15">
      <c r="B846" s="33"/>
      <c r="C846" s="5" t="s">
        <v>4</v>
      </c>
      <c r="D846" s="9">
        <f>ROUND(C12*880,0)</f>
        <v>9240</v>
      </c>
      <c r="E846" s="6" t="s">
        <v>5</v>
      </c>
      <c r="F846" s="11">
        <f>ROUND(C12*476,0)</f>
        <v>4998</v>
      </c>
      <c r="G846" s="35">
        <v>100</v>
      </c>
      <c r="H846" s="17"/>
    </row>
    <row r="847" spans="2:8" s="1" customFormat="1" ht="13.5" customHeight="1" x14ac:dyDescent="0.15">
      <c r="B847" s="33"/>
      <c r="C847" s="7" t="s">
        <v>6</v>
      </c>
      <c r="D847" s="10">
        <v>7</v>
      </c>
      <c r="E847" s="8" t="s">
        <v>7</v>
      </c>
      <c r="F847" s="12">
        <f>ROUND(C12*480,0)</f>
        <v>5040</v>
      </c>
      <c r="G847" s="36"/>
      <c r="H847" s="17"/>
    </row>
    <row r="848" spans="2:8" s="1" customFormat="1" ht="14.25" thickBot="1" x14ac:dyDescent="0.2">
      <c r="B848" s="34"/>
      <c r="C848" s="18" t="s">
        <v>16</v>
      </c>
      <c r="D848" s="19" t="s">
        <v>36</v>
      </c>
      <c r="E848" s="20" t="s">
        <v>17</v>
      </c>
      <c r="F848" s="21" t="s">
        <v>100</v>
      </c>
      <c r="G848" s="22" t="s">
        <v>20</v>
      </c>
      <c r="H848" s="23" t="s">
        <v>37</v>
      </c>
    </row>
    <row r="849" spans="2:8" s="1" customFormat="1" x14ac:dyDescent="0.15">
      <c r="B849" s="13" t="s">
        <v>1</v>
      </c>
      <c r="C849" s="14" t="s">
        <v>0</v>
      </c>
      <c r="D849" s="29" t="s">
        <v>316</v>
      </c>
      <c r="E849" s="30"/>
      <c r="F849" s="31"/>
      <c r="G849" s="15" t="s">
        <v>57</v>
      </c>
      <c r="H849" s="16" t="s">
        <v>50</v>
      </c>
    </row>
    <row r="850" spans="2:8" s="1" customFormat="1" x14ac:dyDescent="0.15">
      <c r="B850" s="32">
        <v>300168</v>
      </c>
      <c r="C850" s="2" t="s">
        <v>2</v>
      </c>
      <c r="D850" s="9">
        <f>ROUND(C12*680,0)</f>
        <v>7140</v>
      </c>
      <c r="E850" s="3" t="s">
        <v>3</v>
      </c>
      <c r="F850" s="11">
        <f>ROUND(C12*1936,0)</f>
        <v>20328</v>
      </c>
      <c r="G850" s="4" t="s">
        <v>8</v>
      </c>
      <c r="H850" s="17" t="s">
        <v>29</v>
      </c>
    </row>
    <row r="851" spans="2:8" s="1" customFormat="1" ht="13.5" customHeight="1" x14ac:dyDescent="0.15">
      <c r="B851" s="33"/>
      <c r="C851" s="5" t="s">
        <v>4</v>
      </c>
      <c r="D851" s="9">
        <f>ROUND(C12*880,0)</f>
        <v>9240</v>
      </c>
      <c r="E851" s="6" t="s">
        <v>5</v>
      </c>
      <c r="F851" s="11">
        <f>ROUND(C12*980,0)</f>
        <v>10290</v>
      </c>
      <c r="G851" s="35">
        <v>100</v>
      </c>
      <c r="H851" s="17"/>
    </row>
    <row r="852" spans="2:8" s="1" customFormat="1" ht="13.5" customHeight="1" x14ac:dyDescent="0.15">
      <c r="B852" s="33"/>
      <c r="C852" s="7" t="s">
        <v>6</v>
      </c>
      <c r="D852" s="10">
        <v>4</v>
      </c>
      <c r="E852" s="8" t="s">
        <v>7</v>
      </c>
      <c r="F852" s="12">
        <f>ROUND(C12*530,0)</f>
        <v>5565</v>
      </c>
      <c r="G852" s="36"/>
      <c r="H852" s="17"/>
    </row>
    <row r="853" spans="2:8" s="1" customFormat="1" ht="14.25" thickBot="1" x14ac:dyDescent="0.2">
      <c r="B853" s="34"/>
      <c r="C853" s="18" t="s">
        <v>16</v>
      </c>
      <c r="D853" s="19" t="s">
        <v>421</v>
      </c>
      <c r="E853" s="20" t="s">
        <v>17</v>
      </c>
      <c r="F853" s="21" t="s">
        <v>397</v>
      </c>
      <c r="G853" s="22" t="s">
        <v>20</v>
      </c>
      <c r="H853" s="23" t="s">
        <v>37</v>
      </c>
    </row>
    <row r="854" spans="2:8" s="1" customFormat="1" x14ac:dyDescent="0.15">
      <c r="B854" s="13" t="s">
        <v>1</v>
      </c>
      <c r="C854" s="14" t="s">
        <v>0</v>
      </c>
      <c r="D854" s="29" t="s">
        <v>317</v>
      </c>
      <c r="E854" s="30"/>
      <c r="F854" s="31"/>
      <c r="G854" s="15" t="s">
        <v>57</v>
      </c>
      <c r="H854" s="16" t="s">
        <v>98</v>
      </c>
    </row>
    <row r="855" spans="2:8" s="1" customFormat="1" x14ac:dyDescent="0.15">
      <c r="B855" s="32">
        <v>300169</v>
      </c>
      <c r="C855" s="2" t="s">
        <v>2</v>
      </c>
      <c r="D855" s="9">
        <f>ROUND(C12*680,0)</f>
        <v>7140</v>
      </c>
      <c r="E855" s="3" t="s">
        <v>3</v>
      </c>
      <c r="F855" s="11">
        <f>ROUND(C12*880,0)</f>
        <v>9240</v>
      </c>
      <c r="G855" s="4" t="s">
        <v>8</v>
      </c>
      <c r="H855" s="17" t="s">
        <v>99</v>
      </c>
    </row>
    <row r="856" spans="2:8" s="1" customFormat="1" ht="13.5" customHeight="1" x14ac:dyDescent="0.15">
      <c r="B856" s="33"/>
      <c r="C856" s="5" t="s">
        <v>4</v>
      </c>
      <c r="D856" s="9">
        <f>ROUND(C12*880,0)</f>
        <v>9240</v>
      </c>
      <c r="E856" s="6" t="s">
        <v>5</v>
      </c>
      <c r="F856" s="11">
        <f>ROUND(C12*476,0)</f>
        <v>4998</v>
      </c>
      <c r="G856" s="35">
        <v>100</v>
      </c>
      <c r="H856" s="17"/>
    </row>
    <row r="857" spans="2:8" s="1" customFormat="1" ht="13.5" customHeight="1" x14ac:dyDescent="0.15">
      <c r="B857" s="33"/>
      <c r="C857" s="7" t="s">
        <v>6</v>
      </c>
      <c r="D857" s="10">
        <v>7</v>
      </c>
      <c r="E857" s="8" t="s">
        <v>7</v>
      </c>
      <c r="F857" s="12">
        <f>ROUND(C12*530,0)</f>
        <v>5565</v>
      </c>
      <c r="G857" s="36"/>
      <c r="H857" s="17"/>
    </row>
    <row r="858" spans="2:8" s="1" customFormat="1" ht="14.25" thickBot="1" x14ac:dyDescent="0.2">
      <c r="B858" s="34"/>
      <c r="C858" s="18" t="s">
        <v>16</v>
      </c>
      <c r="D858" s="19" t="s">
        <v>56</v>
      </c>
      <c r="E858" s="20" t="s">
        <v>17</v>
      </c>
      <c r="F858" s="21" t="s">
        <v>51</v>
      </c>
      <c r="G858" s="22" t="s">
        <v>20</v>
      </c>
      <c r="H858" s="23" t="s">
        <v>37</v>
      </c>
    </row>
    <row r="859" spans="2:8" s="1" customFormat="1" x14ac:dyDescent="0.15">
      <c r="B859" s="13" t="s">
        <v>1</v>
      </c>
      <c r="C859" s="14" t="s">
        <v>0</v>
      </c>
      <c r="D859" s="29" t="s">
        <v>318</v>
      </c>
      <c r="E859" s="30"/>
      <c r="F859" s="31"/>
      <c r="G859" s="15" t="s">
        <v>57</v>
      </c>
      <c r="H859" s="16" t="s">
        <v>159</v>
      </c>
    </row>
    <row r="860" spans="2:8" s="1" customFormat="1" x14ac:dyDescent="0.15">
      <c r="B860" s="32">
        <v>300170</v>
      </c>
      <c r="C860" s="2" t="s">
        <v>2</v>
      </c>
      <c r="D860" s="9">
        <f>ROUND(C12*680,0)</f>
        <v>7140</v>
      </c>
      <c r="E860" s="3" t="s">
        <v>3</v>
      </c>
      <c r="F860" s="11">
        <f>ROUND(C12*880,0)</f>
        <v>9240</v>
      </c>
      <c r="G860" s="4" t="s">
        <v>8</v>
      </c>
      <c r="H860" s="17" t="s">
        <v>160</v>
      </c>
    </row>
    <row r="861" spans="2:8" s="1" customFormat="1" ht="13.5" customHeight="1" x14ac:dyDescent="0.15">
      <c r="B861" s="33"/>
      <c r="C861" s="5" t="s">
        <v>4</v>
      </c>
      <c r="D861" s="9">
        <f>ROUND(C12*880,0)</f>
        <v>9240</v>
      </c>
      <c r="E861" s="6" t="s">
        <v>5</v>
      </c>
      <c r="F861" s="11">
        <f>ROUND(C12*476,0)</f>
        <v>4998</v>
      </c>
      <c r="G861" s="35">
        <v>50</v>
      </c>
      <c r="H861" s="17"/>
    </row>
    <row r="862" spans="2:8" s="1" customFormat="1" ht="13.5" customHeight="1" x14ac:dyDescent="0.15">
      <c r="B862" s="33"/>
      <c r="C862" s="7" t="s">
        <v>6</v>
      </c>
      <c r="D862" s="10">
        <v>7</v>
      </c>
      <c r="E862" s="8" t="s">
        <v>7</v>
      </c>
      <c r="F862" s="12">
        <f>ROUND(C12*370,0)</f>
        <v>3885</v>
      </c>
      <c r="G862" s="36"/>
      <c r="H862" s="17"/>
    </row>
    <row r="863" spans="2:8" s="1" customFormat="1" ht="14.25" thickBot="1" x14ac:dyDescent="0.2">
      <c r="B863" s="34"/>
      <c r="C863" s="18" t="s">
        <v>16</v>
      </c>
      <c r="D863" s="19" t="s">
        <v>82</v>
      </c>
      <c r="E863" s="20" t="s">
        <v>17</v>
      </c>
      <c r="F863" s="21" t="s">
        <v>32</v>
      </c>
      <c r="G863" s="22" t="s">
        <v>20</v>
      </c>
      <c r="H863" s="23" t="s">
        <v>262</v>
      </c>
    </row>
    <row r="864" spans="2:8" s="1" customFormat="1" x14ac:dyDescent="0.15">
      <c r="B864" s="13" t="s">
        <v>1</v>
      </c>
      <c r="C864" s="14" t="s">
        <v>0</v>
      </c>
      <c r="D864" s="29" t="s">
        <v>319</v>
      </c>
      <c r="E864" s="30"/>
      <c r="F864" s="31"/>
      <c r="G864" s="15" t="s">
        <v>57</v>
      </c>
      <c r="H864" s="16" t="s">
        <v>119</v>
      </c>
    </row>
    <row r="865" spans="2:8" s="1" customFormat="1" x14ac:dyDescent="0.15">
      <c r="B865" s="32">
        <v>300171</v>
      </c>
      <c r="C865" s="2" t="s">
        <v>2</v>
      </c>
      <c r="D865" s="9">
        <f>ROUND(C12*680,0)</f>
        <v>7140</v>
      </c>
      <c r="E865" s="3" t="s">
        <v>3</v>
      </c>
      <c r="F865" s="11">
        <f>ROUND(C12*880,0)</f>
        <v>9240</v>
      </c>
      <c r="G865" s="4" t="s">
        <v>8</v>
      </c>
      <c r="H865" s="17" t="s">
        <v>120</v>
      </c>
    </row>
    <row r="866" spans="2:8" s="1" customFormat="1" ht="13.5" customHeight="1" x14ac:dyDescent="0.15">
      <c r="B866" s="33"/>
      <c r="C866" s="5" t="s">
        <v>4</v>
      </c>
      <c r="D866" s="9">
        <f>ROUND(C12*880,0)</f>
        <v>9240</v>
      </c>
      <c r="E866" s="6" t="s">
        <v>5</v>
      </c>
      <c r="F866" s="11">
        <f>ROUND(C12*476,0)</f>
        <v>4998</v>
      </c>
      <c r="G866" s="35">
        <v>100</v>
      </c>
      <c r="H866" s="17"/>
    </row>
    <row r="867" spans="2:8" s="1" customFormat="1" ht="13.5" customHeight="1" x14ac:dyDescent="0.15">
      <c r="B867" s="33"/>
      <c r="C867" s="7" t="s">
        <v>6</v>
      </c>
      <c r="D867" s="10">
        <v>7</v>
      </c>
      <c r="E867" s="8" t="s">
        <v>7</v>
      </c>
      <c r="F867" s="12">
        <f>ROUND(C12*370,0)</f>
        <v>3885</v>
      </c>
      <c r="G867" s="36"/>
      <c r="H867" s="17"/>
    </row>
    <row r="868" spans="2:8" s="1" customFormat="1" ht="14.25" thickBot="1" x14ac:dyDescent="0.2">
      <c r="B868" s="34"/>
      <c r="C868" s="18" t="s">
        <v>16</v>
      </c>
      <c r="D868" s="19" t="s">
        <v>113</v>
      </c>
      <c r="E868" s="20" t="s">
        <v>17</v>
      </c>
      <c r="F868" s="21" t="s">
        <v>430</v>
      </c>
      <c r="G868" s="22" t="s">
        <v>20</v>
      </c>
      <c r="H868" s="23" t="s">
        <v>121</v>
      </c>
    </row>
    <row r="869" spans="2:8" s="1" customFormat="1" x14ac:dyDescent="0.15">
      <c r="B869" s="13" t="s">
        <v>1</v>
      </c>
      <c r="C869" s="14" t="s">
        <v>0</v>
      </c>
      <c r="D869" s="29" t="s">
        <v>320</v>
      </c>
      <c r="E869" s="30"/>
      <c r="F869" s="31"/>
      <c r="G869" s="15" t="s">
        <v>57</v>
      </c>
      <c r="H869" s="16" t="s">
        <v>111</v>
      </c>
    </row>
    <row r="870" spans="2:8" s="1" customFormat="1" x14ac:dyDescent="0.15">
      <c r="B870" s="32">
        <v>300172</v>
      </c>
      <c r="C870" s="2" t="s">
        <v>2</v>
      </c>
      <c r="D870" s="9">
        <f>ROUND(C12*680,0)</f>
        <v>7140</v>
      </c>
      <c r="E870" s="3" t="s">
        <v>3</v>
      </c>
      <c r="F870" s="11">
        <f>ROUND(C12*880,0)</f>
        <v>9240</v>
      </c>
      <c r="G870" s="4" t="s">
        <v>8</v>
      </c>
      <c r="H870" s="17" t="s">
        <v>112</v>
      </c>
    </row>
    <row r="871" spans="2:8" s="1" customFormat="1" ht="13.5" customHeight="1" x14ac:dyDescent="0.15">
      <c r="B871" s="33"/>
      <c r="C871" s="5" t="s">
        <v>4</v>
      </c>
      <c r="D871" s="9">
        <f>ROUND(C12*880,0)</f>
        <v>9240</v>
      </c>
      <c r="E871" s="6" t="s">
        <v>5</v>
      </c>
      <c r="F871" s="11">
        <f>ROUND(C12*476,0)</f>
        <v>4998</v>
      </c>
      <c r="G871" s="35">
        <v>100</v>
      </c>
      <c r="H871" s="17"/>
    </row>
    <row r="872" spans="2:8" s="1" customFormat="1" ht="13.5" customHeight="1" x14ac:dyDescent="0.15">
      <c r="B872" s="33"/>
      <c r="C872" s="7" t="s">
        <v>6</v>
      </c>
      <c r="D872" s="10">
        <v>7</v>
      </c>
      <c r="E872" s="8" t="s">
        <v>7</v>
      </c>
      <c r="F872" s="12">
        <f>ROUND(C12*370,0)</f>
        <v>3885</v>
      </c>
      <c r="G872" s="36"/>
      <c r="H872" s="17"/>
    </row>
    <row r="873" spans="2:8" s="1" customFormat="1" ht="14.25" thickBot="1" x14ac:dyDescent="0.2">
      <c r="B873" s="34"/>
      <c r="C873" s="18" t="s">
        <v>16</v>
      </c>
      <c r="D873" s="19" t="s">
        <v>397</v>
      </c>
      <c r="E873" s="20" t="s">
        <v>17</v>
      </c>
      <c r="F873" s="21" t="s">
        <v>421</v>
      </c>
      <c r="G873" s="22" t="s">
        <v>20</v>
      </c>
      <c r="H873" s="23" t="s">
        <v>114</v>
      </c>
    </row>
    <row r="874" spans="2:8" s="1" customFormat="1" x14ac:dyDescent="0.15">
      <c r="B874" s="13" t="s">
        <v>1</v>
      </c>
      <c r="C874" s="14" t="s">
        <v>0</v>
      </c>
      <c r="D874" s="29" t="s">
        <v>321</v>
      </c>
      <c r="E874" s="30"/>
      <c r="F874" s="31"/>
      <c r="G874" s="15" t="s">
        <v>57</v>
      </c>
      <c r="H874" s="16" t="s">
        <v>35</v>
      </c>
    </row>
    <row r="875" spans="2:8" s="1" customFormat="1" x14ac:dyDescent="0.15">
      <c r="B875" s="32">
        <v>300173</v>
      </c>
      <c r="C875" s="2" t="s">
        <v>2</v>
      </c>
      <c r="D875" s="9">
        <f>ROUND(C12*680,0)</f>
        <v>7140</v>
      </c>
      <c r="E875" s="3" t="s">
        <v>3</v>
      </c>
      <c r="F875" s="11">
        <f>ROUND(C12*880,0)</f>
        <v>9240</v>
      </c>
      <c r="G875" s="4" t="s">
        <v>8</v>
      </c>
      <c r="H875" s="17" t="s">
        <v>23</v>
      </c>
    </row>
    <row r="876" spans="2:8" s="1" customFormat="1" ht="13.5" customHeight="1" x14ac:dyDescent="0.15">
      <c r="B876" s="33"/>
      <c r="C876" s="5" t="s">
        <v>4</v>
      </c>
      <c r="D876" s="9">
        <f>ROUND(C12*880,0)</f>
        <v>9240</v>
      </c>
      <c r="E876" s="6" t="s">
        <v>5</v>
      </c>
      <c r="F876" s="11">
        <f>ROUND(C12*476,0)</f>
        <v>4998</v>
      </c>
      <c r="G876" s="35">
        <v>100</v>
      </c>
      <c r="H876" s="17"/>
    </row>
    <row r="877" spans="2:8" s="1" customFormat="1" ht="13.5" customHeight="1" x14ac:dyDescent="0.15">
      <c r="B877" s="33"/>
      <c r="C877" s="7" t="s">
        <v>6</v>
      </c>
      <c r="D877" s="10">
        <v>7</v>
      </c>
      <c r="E877" s="8" t="s">
        <v>7</v>
      </c>
      <c r="F877" s="12">
        <f>ROUND(C12*450,0)</f>
        <v>4725</v>
      </c>
      <c r="G877" s="36"/>
      <c r="H877" s="17"/>
    </row>
    <row r="878" spans="2:8" s="1" customFormat="1" ht="14.25" thickBot="1" x14ac:dyDescent="0.2">
      <c r="B878" s="34"/>
      <c r="C878" s="18" t="s">
        <v>16</v>
      </c>
      <c r="D878" s="19" t="s">
        <v>48</v>
      </c>
      <c r="E878" s="20" t="s">
        <v>17</v>
      </c>
      <c r="F878" s="21" t="s">
        <v>49</v>
      </c>
      <c r="G878" s="22" t="s">
        <v>20</v>
      </c>
      <c r="H878" s="23" t="s">
        <v>37</v>
      </c>
    </row>
    <row r="879" spans="2:8" s="1" customFormat="1" x14ac:dyDescent="0.15">
      <c r="B879" s="13" t="s">
        <v>1</v>
      </c>
      <c r="C879" s="14" t="s">
        <v>0</v>
      </c>
      <c r="D879" s="29" t="s">
        <v>322</v>
      </c>
      <c r="E879" s="30"/>
      <c r="F879" s="31"/>
      <c r="G879" s="15" t="s">
        <v>57</v>
      </c>
      <c r="H879" s="16" t="s">
        <v>91</v>
      </c>
    </row>
    <row r="880" spans="2:8" s="1" customFormat="1" x14ac:dyDescent="0.15">
      <c r="B880" s="32">
        <v>300174</v>
      </c>
      <c r="C880" s="2" t="s">
        <v>2</v>
      </c>
      <c r="D880" s="9">
        <f>ROUND(C12*680,0)</f>
        <v>7140</v>
      </c>
      <c r="E880" s="3" t="s">
        <v>3</v>
      </c>
      <c r="F880" s="11">
        <f>ROUND(C12*880,0)</f>
        <v>9240</v>
      </c>
      <c r="G880" s="4" t="s">
        <v>8</v>
      </c>
      <c r="H880" s="17" t="s">
        <v>92</v>
      </c>
    </row>
    <row r="881" spans="2:8" s="1" customFormat="1" ht="13.5" customHeight="1" x14ac:dyDescent="0.15">
      <c r="B881" s="33"/>
      <c r="C881" s="5" t="s">
        <v>4</v>
      </c>
      <c r="D881" s="9">
        <f>ROUND(C12*880,0)</f>
        <v>9240</v>
      </c>
      <c r="E881" s="6" t="s">
        <v>5</v>
      </c>
      <c r="F881" s="11">
        <f>ROUND(C12*476,0)</f>
        <v>4998</v>
      </c>
      <c r="G881" s="35">
        <v>100</v>
      </c>
      <c r="H881" s="17"/>
    </row>
    <row r="882" spans="2:8" s="1" customFormat="1" ht="13.5" customHeight="1" x14ac:dyDescent="0.15">
      <c r="B882" s="33"/>
      <c r="C882" s="7" t="s">
        <v>6</v>
      </c>
      <c r="D882" s="10">
        <v>7</v>
      </c>
      <c r="E882" s="8" t="s">
        <v>7</v>
      </c>
      <c r="F882" s="12">
        <f>ROUND(C12*450,0)</f>
        <v>4725</v>
      </c>
      <c r="G882" s="36"/>
      <c r="H882" s="17"/>
    </row>
    <row r="883" spans="2:8" s="1" customFormat="1" ht="14.25" thickBot="1" x14ac:dyDescent="0.2">
      <c r="B883" s="34"/>
      <c r="C883" s="18" t="s">
        <v>16</v>
      </c>
      <c r="D883" s="19" t="s">
        <v>93</v>
      </c>
      <c r="E883" s="20" t="s">
        <v>17</v>
      </c>
      <c r="F883" s="21" t="s">
        <v>113</v>
      </c>
      <c r="G883" s="22" t="s">
        <v>20</v>
      </c>
      <c r="H883" s="23" t="s">
        <v>37</v>
      </c>
    </row>
    <row r="884" spans="2:8" s="1" customFormat="1" x14ac:dyDescent="0.15">
      <c r="B884" s="13" t="s">
        <v>1</v>
      </c>
      <c r="C884" s="14" t="s">
        <v>0</v>
      </c>
      <c r="D884" s="29" t="s">
        <v>323</v>
      </c>
      <c r="E884" s="30"/>
      <c r="F884" s="31"/>
      <c r="G884" s="15" t="s">
        <v>57</v>
      </c>
      <c r="H884" s="16" t="s">
        <v>44</v>
      </c>
    </row>
    <row r="885" spans="2:8" s="1" customFormat="1" x14ac:dyDescent="0.15">
      <c r="B885" s="32">
        <v>300175</v>
      </c>
      <c r="C885" s="2" t="s">
        <v>2</v>
      </c>
      <c r="D885" s="9">
        <f>ROUND(C12*680,0)</f>
        <v>7140</v>
      </c>
      <c r="E885" s="3" t="s">
        <v>3</v>
      </c>
      <c r="F885" s="11">
        <f>ROUND(C12*1936,0)</f>
        <v>20328</v>
      </c>
      <c r="G885" s="4" t="s">
        <v>8</v>
      </c>
      <c r="H885" s="17" t="s">
        <v>26</v>
      </c>
    </row>
    <row r="886" spans="2:8" s="1" customFormat="1" ht="13.5" customHeight="1" x14ac:dyDescent="0.15">
      <c r="B886" s="33"/>
      <c r="C886" s="5" t="s">
        <v>4</v>
      </c>
      <c r="D886" s="9">
        <f>ROUND(C12*880,0)</f>
        <v>9240</v>
      </c>
      <c r="E886" s="6" t="s">
        <v>5</v>
      </c>
      <c r="F886" s="11">
        <f>ROUND(C12*980,0)</f>
        <v>10290</v>
      </c>
      <c r="G886" s="35">
        <v>100</v>
      </c>
      <c r="H886" s="17"/>
    </row>
    <row r="887" spans="2:8" s="1" customFormat="1" ht="13.5" customHeight="1" x14ac:dyDescent="0.15">
      <c r="B887" s="33"/>
      <c r="C887" s="7" t="s">
        <v>6</v>
      </c>
      <c r="D887" s="10">
        <v>4</v>
      </c>
      <c r="E887" s="8" t="s">
        <v>7</v>
      </c>
      <c r="F887" s="12">
        <f>ROUND(C12*380,0)</f>
        <v>3990</v>
      </c>
      <c r="G887" s="36"/>
      <c r="H887" s="17"/>
    </row>
    <row r="888" spans="2:8" s="1" customFormat="1" ht="14.25" thickBot="1" x14ac:dyDescent="0.2">
      <c r="B888" s="34"/>
      <c r="C888" s="18" t="s">
        <v>16</v>
      </c>
      <c r="D888" s="19" t="s">
        <v>293</v>
      </c>
      <c r="E888" s="20" t="s">
        <v>17</v>
      </c>
      <c r="F888" s="21" t="s">
        <v>399</v>
      </c>
      <c r="G888" s="22" t="s">
        <v>20</v>
      </c>
      <c r="H888" s="23" t="s">
        <v>37</v>
      </c>
    </row>
    <row r="889" spans="2:8" s="1" customFormat="1" x14ac:dyDescent="0.15">
      <c r="B889" s="13" t="s">
        <v>1</v>
      </c>
      <c r="C889" s="14" t="s">
        <v>0</v>
      </c>
      <c r="D889" s="29" t="s">
        <v>324</v>
      </c>
      <c r="E889" s="30"/>
      <c r="F889" s="31"/>
      <c r="G889" s="15" t="s">
        <v>57</v>
      </c>
      <c r="H889" s="16" t="s">
        <v>50</v>
      </c>
    </row>
    <row r="890" spans="2:8" s="1" customFormat="1" x14ac:dyDescent="0.15">
      <c r="B890" s="32">
        <v>300176</v>
      </c>
      <c r="C890" s="2" t="s">
        <v>2</v>
      </c>
      <c r="D890" s="9">
        <f>ROUND(C12*680,0)</f>
        <v>7140</v>
      </c>
      <c r="E890" s="3" t="s">
        <v>3</v>
      </c>
      <c r="F890" s="11">
        <f>ROUND(C12*1936,0)</f>
        <v>20328</v>
      </c>
      <c r="G890" s="4" t="s">
        <v>8</v>
      </c>
      <c r="H890" s="17" t="s">
        <v>29</v>
      </c>
    </row>
    <row r="891" spans="2:8" s="1" customFormat="1" ht="13.5" customHeight="1" x14ac:dyDescent="0.15">
      <c r="B891" s="33"/>
      <c r="C891" s="5" t="s">
        <v>4</v>
      </c>
      <c r="D891" s="9">
        <f>ROUND(C12*880,0)</f>
        <v>9240</v>
      </c>
      <c r="E891" s="6" t="s">
        <v>5</v>
      </c>
      <c r="F891" s="11">
        <f>ROUND(C12*980,0)</f>
        <v>10290</v>
      </c>
      <c r="G891" s="35">
        <v>100</v>
      </c>
      <c r="H891" s="17"/>
    </row>
    <row r="892" spans="2:8" s="1" customFormat="1" ht="13.5" customHeight="1" x14ac:dyDescent="0.15">
      <c r="B892" s="33"/>
      <c r="C892" s="7" t="s">
        <v>6</v>
      </c>
      <c r="D892" s="10">
        <v>4</v>
      </c>
      <c r="E892" s="8" t="s">
        <v>7</v>
      </c>
      <c r="F892" s="12">
        <f>ROUND(C12*380,0)</f>
        <v>3990</v>
      </c>
      <c r="G892" s="36"/>
      <c r="H892" s="17"/>
    </row>
    <row r="893" spans="2:8" s="1" customFormat="1" ht="14.25" thickBot="1" x14ac:dyDescent="0.2">
      <c r="B893" s="34"/>
      <c r="C893" s="18" t="s">
        <v>16</v>
      </c>
      <c r="D893" s="19" t="s">
        <v>258</v>
      </c>
      <c r="E893" s="20" t="s">
        <v>17</v>
      </c>
      <c r="F893" s="21" t="s">
        <v>56</v>
      </c>
      <c r="G893" s="22" t="s">
        <v>20</v>
      </c>
      <c r="H893" s="23" t="s">
        <v>37</v>
      </c>
    </row>
    <row r="894" spans="2:8" s="1" customFormat="1" x14ac:dyDescent="0.15">
      <c r="B894" s="13" t="s">
        <v>1</v>
      </c>
      <c r="C894" s="14" t="s">
        <v>0</v>
      </c>
      <c r="D894" s="29" t="s">
        <v>325</v>
      </c>
      <c r="E894" s="30"/>
      <c r="F894" s="31"/>
      <c r="G894" s="15" t="s">
        <v>57</v>
      </c>
      <c r="H894" s="16" t="s">
        <v>326</v>
      </c>
    </row>
    <row r="895" spans="2:8" s="1" customFormat="1" x14ac:dyDescent="0.15">
      <c r="B895" s="32">
        <v>300177</v>
      </c>
      <c r="C895" s="2" t="s">
        <v>2</v>
      </c>
      <c r="D895" s="9">
        <f>ROUND(C12*680,0)</f>
        <v>7140</v>
      </c>
      <c r="E895" s="3" t="s">
        <v>3</v>
      </c>
      <c r="F895" s="11">
        <f>ROUND(C12*880,0)</f>
        <v>9240</v>
      </c>
      <c r="G895" s="4" t="s">
        <v>8</v>
      </c>
      <c r="H895" s="17" t="s">
        <v>160</v>
      </c>
    </row>
    <row r="896" spans="2:8" s="1" customFormat="1" ht="13.5" customHeight="1" x14ac:dyDescent="0.15">
      <c r="B896" s="33"/>
      <c r="C896" s="5" t="s">
        <v>4</v>
      </c>
      <c r="D896" s="9">
        <f>ROUND(C12*880,0)</f>
        <v>9240</v>
      </c>
      <c r="E896" s="6" t="s">
        <v>5</v>
      </c>
      <c r="F896" s="11">
        <f>ROUND(C12*476,0)</f>
        <v>4998</v>
      </c>
      <c r="G896" s="35">
        <v>50</v>
      </c>
      <c r="H896" s="17"/>
    </row>
    <row r="897" spans="2:8" s="1" customFormat="1" ht="13.5" customHeight="1" x14ac:dyDescent="0.15">
      <c r="B897" s="33"/>
      <c r="C897" s="7" t="s">
        <v>6</v>
      </c>
      <c r="D897" s="10">
        <v>7</v>
      </c>
      <c r="E897" s="8" t="s">
        <v>7</v>
      </c>
      <c r="F897" s="12">
        <f>ROUND(C12*530,0)</f>
        <v>5565</v>
      </c>
      <c r="G897" s="36"/>
      <c r="H897" s="17"/>
    </row>
    <row r="898" spans="2:8" s="1" customFormat="1" ht="14.25" thickBot="1" x14ac:dyDescent="0.2">
      <c r="B898" s="34"/>
      <c r="C898" s="18" t="s">
        <v>16</v>
      </c>
      <c r="D898" s="19" t="s">
        <v>45</v>
      </c>
      <c r="E898" s="20" t="s">
        <v>17</v>
      </c>
      <c r="F898" s="21" t="s">
        <v>405</v>
      </c>
      <c r="G898" s="22" t="s">
        <v>20</v>
      </c>
      <c r="H898" s="23" t="s">
        <v>37</v>
      </c>
    </row>
    <row r="899" spans="2:8" s="1" customFormat="1" x14ac:dyDescent="0.15">
      <c r="B899" s="13" t="s">
        <v>1</v>
      </c>
      <c r="C899" s="14" t="s">
        <v>0</v>
      </c>
      <c r="D899" s="29" t="s">
        <v>327</v>
      </c>
      <c r="E899" s="30"/>
      <c r="F899" s="31"/>
      <c r="G899" s="15" t="s">
        <v>57</v>
      </c>
      <c r="H899" s="16" t="s">
        <v>77</v>
      </c>
    </row>
    <row r="900" spans="2:8" s="1" customFormat="1" x14ac:dyDescent="0.15">
      <c r="B900" s="32">
        <v>300178</v>
      </c>
      <c r="C900" s="2" t="s">
        <v>2</v>
      </c>
      <c r="D900" s="9">
        <f>ROUND(C12*680,0)</f>
        <v>7140</v>
      </c>
      <c r="E900" s="3" t="s">
        <v>3</v>
      </c>
      <c r="F900" s="11">
        <f>ROUND(C12*1936,0)</f>
        <v>20328</v>
      </c>
      <c r="G900" s="4" t="s">
        <v>8</v>
      </c>
      <c r="H900" s="17" t="s">
        <v>78</v>
      </c>
    </row>
    <row r="901" spans="2:8" s="1" customFormat="1" ht="13.5" customHeight="1" x14ac:dyDescent="0.15">
      <c r="B901" s="33"/>
      <c r="C901" s="5" t="s">
        <v>4</v>
      </c>
      <c r="D901" s="9">
        <f>ROUND(C12*880,0)</f>
        <v>9240</v>
      </c>
      <c r="E901" s="6" t="s">
        <v>5</v>
      </c>
      <c r="F901" s="11">
        <f>ROUND(C12*980,0)</f>
        <v>10290</v>
      </c>
      <c r="G901" s="35">
        <v>100</v>
      </c>
      <c r="H901" s="17"/>
    </row>
    <row r="902" spans="2:8" s="1" customFormat="1" ht="13.5" customHeight="1" x14ac:dyDescent="0.15">
      <c r="B902" s="33"/>
      <c r="C902" s="7" t="s">
        <v>6</v>
      </c>
      <c r="D902" s="10">
        <v>4</v>
      </c>
      <c r="E902" s="8" t="s">
        <v>7</v>
      </c>
      <c r="F902" s="12">
        <f>ROUND(C12*400,0)</f>
        <v>4200</v>
      </c>
      <c r="G902" s="36"/>
      <c r="H902" s="17"/>
    </row>
    <row r="903" spans="2:8" s="1" customFormat="1" ht="14.25" thickBot="1" x14ac:dyDescent="0.2">
      <c r="B903" s="34"/>
      <c r="C903" s="18" t="s">
        <v>16</v>
      </c>
      <c r="D903" s="19" t="s">
        <v>85</v>
      </c>
      <c r="E903" s="20" t="s">
        <v>17</v>
      </c>
      <c r="F903" s="21" t="s">
        <v>49</v>
      </c>
      <c r="G903" s="22" t="s">
        <v>20</v>
      </c>
      <c r="H903" s="23" t="s">
        <v>37</v>
      </c>
    </row>
    <row r="904" spans="2:8" s="1" customFormat="1" x14ac:dyDescent="0.15">
      <c r="B904" s="13" t="s">
        <v>1</v>
      </c>
      <c r="C904" s="14" t="s">
        <v>0</v>
      </c>
      <c r="D904" s="29" t="s">
        <v>328</v>
      </c>
      <c r="E904" s="30"/>
      <c r="F904" s="31"/>
      <c r="G904" s="15" t="s">
        <v>57</v>
      </c>
      <c r="H904" s="16" t="s">
        <v>80</v>
      </c>
    </row>
    <row r="905" spans="2:8" s="1" customFormat="1" x14ac:dyDescent="0.15">
      <c r="B905" s="32">
        <v>300179</v>
      </c>
      <c r="C905" s="2" t="s">
        <v>2</v>
      </c>
      <c r="D905" s="9">
        <f>ROUND(C12*680,0)</f>
        <v>7140</v>
      </c>
      <c r="E905" s="3" t="s">
        <v>3</v>
      </c>
      <c r="F905" s="11">
        <f>ROUND(C12*880,0)</f>
        <v>9240</v>
      </c>
      <c r="G905" s="4" t="s">
        <v>8</v>
      </c>
      <c r="H905" s="17" t="s">
        <v>81</v>
      </c>
    </row>
    <row r="906" spans="2:8" s="1" customFormat="1" ht="13.5" customHeight="1" x14ac:dyDescent="0.15">
      <c r="B906" s="33"/>
      <c r="C906" s="5" t="s">
        <v>4</v>
      </c>
      <c r="D906" s="9">
        <f>ROUND(C12*880,0)</f>
        <v>9240</v>
      </c>
      <c r="E906" s="6" t="s">
        <v>5</v>
      </c>
      <c r="F906" s="11">
        <f>ROUND(C12*476,0)</f>
        <v>4998</v>
      </c>
      <c r="G906" s="35">
        <v>100</v>
      </c>
      <c r="H906" s="17"/>
    </row>
    <row r="907" spans="2:8" s="1" customFormat="1" ht="13.5" customHeight="1" x14ac:dyDescent="0.15">
      <c r="B907" s="33"/>
      <c r="C907" s="7" t="s">
        <v>6</v>
      </c>
      <c r="D907" s="10">
        <v>7</v>
      </c>
      <c r="E907" s="8" t="s">
        <v>7</v>
      </c>
      <c r="F907" s="12">
        <f>ROUND(C12*450,0)</f>
        <v>4725</v>
      </c>
      <c r="G907" s="36"/>
      <c r="H907" s="17"/>
    </row>
    <row r="908" spans="2:8" s="1" customFormat="1" ht="14.25" thickBot="1" x14ac:dyDescent="0.2">
      <c r="B908" s="34"/>
      <c r="C908" s="18" t="s">
        <v>16</v>
      </c>
      <c r="D908" s="19" t="s">
        <v>93</v>
      </c>
      <c r="E908" s="20" t="s">
        <v>17</v>
      </c>
      <c r="F908" s="21" t="s">
        <v>113</v>
      </c>
      <c r="G908" s="22" t="s">
        <v>20</v>
      </c>
      <c r="H908" s="23" t="s">
        <v>37</v>
      </c>
    </row>
    <row r="909" spans="2:8" s="1" customFormat="1" x14ac:dyDescent="0.15">
      <c r="B909" s="13" t="s">
        <v>1</v>
      </c>
      <c r="C909" s="14" t="s">
        <v>0</v>
      </c>
      <c r="D909" s="29" t="s">
        <v>329</v>
      </c>
      <c r="E909" s="30"/>
      <c r="F909" s="31"/>
      <c r="G909" s="15" t="s">
        <v>57</v>
      </c>
      <c r="H909" s="16" t="s">
        <v>116</v>
      </c>
    </row>
    <row r="910" spans="2:8" s="1" customFormat="1" x14ac:dyDescent="0.15">
      <c r="B910" s="32">
        <v>300180</v>
      </c>
      <c r="C910" s="2" t="s">
        <v>2</v>
      </c>
      <c r="D910" s="9">
        <f>ROUND(C12*680,0)</f>
        <v>7140</v>
      </c>
      <c r="E910" s="3" t="s">
        <v>3</v>
      </c>
      <c r="F910" s="11">
        <f>ROUND(C12*880,0)</f>
        <v>9240</v>
      </c>
      <c r="G910" s="4" t="s">
        <v>8</v>
      </c>
      <c r="H910" s="17" t="s">
        <v>117</v>
      </c>
    </row>
    <row r="911" spans="2:8" s="1" customFormat="1" ht="13.5" customHeight="1" x14ac:dyDescent="0.15">
      <c r="B911" s="33"/>
      <c r="C911" s="5" t="s">
        <v>4</v>
      </c>
      <c r="D911" s="9">
        <f>ROUND(C12*880,0)</f>
        <v>9240</v>
      </c>
      <c r="E911" s="6" t="s">
        <v>5</v>
      </c>
      <c r="F911" s="11">
        <f>ROUND(C12*476,0)</f>
        <v>4998</v>
      </c>
      <c r="G911" s="35">
        <v>100</v>
      </c>
      <c r="H911" s="17"/>
    </row>
    <row r="912" spans="2:8" s="1" customFormat="1" ht="13.5" customHeight="1" x14ac:dyDescent="0.15">
      <c r="B912" s="33"/>
      <c r="C912" s="7" t="s">
        <v>6</v>
      </c>
      <c r="D912" s="10">
        <v>7</v>
      </c>
      <c r="E912" s="8" t="s">
        <v>7</v>
      </c>
      <c r="F912" s="12">
        <f>ROUND(C12*480,0)</f>
        <v>5040</v>
      </c>
      <c r="G912" s="36"/>
      <c r="H912" s="17"/>
    </row>
    <row r="913" spans="2:8" s="1" customFormat="1" ht="14.25" thickBot="1" x14ac:dyDescent="0.2">
      <c r="B913" s="34"/>
      <c r="C913" s="18" t="s">
        <v>16</v>
      </c>
      <c r="D913" s="19" t="s">
        <v>293</v>
      </c>
      <c r="E913" s="20" t="s">
        <v>17</v>
      </c>
      <c r="F913" s="21" t="s">
        <v>428</v>
      </c>
      <c r="G913" s="22" t="s">
        <v>20</v>
      </c>
      <c r="H913" s="23" t="s">
        <v>37</v>
      </c>
    </row>
    <row r="914" spans="2:8" s="1" customFormat="1" x14ac:dyDescent="0.15">
      <c r="B914" s="13" t="s">
        <v>1</v>
      </c>
      <c r="C914" s="14" t="s">
        <v>0</v>
      </c>
      <c r="D914" s="29" t="s">
        <v>330</v>
      </c>
      <c r="E914" s="30"/>
      <c r="F914" s="31"/>
      <c r="G914" s="15" t="s">
        <v>57</v>
      </c>
      <c r="H914" s="16" t="s">
        <v>50</v>
      </c>
    </row>
    <row r="915" spans="2:8" s="1" customFormat="1" x14ac:dyDescent="0.15">
      <c r="B915" s="32">
        <v>300181</v>
      </c>
      <c r="C915" s="2" t="s">
        <v>2</v>
      </c>
      <c r="D915" s="9">
        <f>ROUND(C12*680,0)</f>
        <v>7140</v>
      </c>
      <c r="E915" s="3" t="s">
        <v>3</v>
      </c>
      <c r="F915" s="11">
        <f>ROUND(C12*1936,0)</f>
        <v>20328</v>
      </c>
      <c r="G915" s="4" t="s">
        <v>8</v>
      </c>
      <c r="H915" s="17" t="s">
        <v>29</v>
      </c>
    </row>
    <row r="916" spans="2:8" s="1" customFormat="1" ht="13.5" customHeight="1" x14ac:dyDescent="0.15">
      <c r="B916" s="33"/>
      <c r="C916" s="5" t="s">
        <v>4</v>
      </c>
      <c r="D916" s="9">
        <f>ROUND(C12*880,0)</f>
        <v>9240</v>
      </c>
      <c r="E916" s="6" t="s">
        <v>5</v>
      </c>
      <c r="F916" s="11">
        <f>ROUND(C12*980,0)</f>
        <v>10290</v>
      </c>
      <c r="G916" s="35">
        <v>100</v>
      </c>
      <c r="H916" s="17"/>
    </row>
    <row r="917" spans="2:8" s="1" customFormat="1" ht="13.5" customHeight="1" x14ac:dyDescent="0.15">
      <c r="B917" s="33"/>
      <c r="C917" s="7" t="s">
        <v>6</v>
      </c>
      <c r="D917" s="10">
        <v>4</v>
      </c>
      <c r="E917" s="8" t="s">
        <v>7</v>
      </c>
      <c r="F917" s="12">
        <f>ROUND(C12*400,0)</f>
        <v>4200</v>
      </c>
      <c r="G917" s="36"/>
      <c r="H917" s="17"/>
    </row>
    <row r="918" spans="2:8" s="1" customFormat="1" ht="14.25" thickBot="1" x14ac:dyDescent="0.2">
      <c r="B918" s="34"/>
      <c r="C918" s="18" t="s">
        <v>16</v>
      </c>
      <c r="D918" s="19" t="s">
        <v>396</v>
      </c>
      <c r="E918" s="20" t="s">
        <v>17</v>
      </c>
      <c r="F918" s="21" t="s">
        <v>56</v>
      </c>
      <c r="G918" s="22" t="s">
        <v>20</v>
      </c>
      <c r="H918" s="23" t="s">
        <v>37</v>
      </c>
    </row>
    <row r="919" spans="2:8" s="1" customFormat="1" x14ac:dyDescent="0.15">
      <c r="B919" s="13" t="s">
        <v>1</v>
      </c>
      <c r="C919" s="14" t="s">
        <v>0</v>
      </c>
      <c r="D919" s="29" t="s">
        <v>331</v>
      </c>
      <c r="E919" s="30"/>
      <c r="F919" s="31"/>
      <c r="G919" s="15" t="s">
        <v>57</v>
      </c>
      <c r="H919" s="16" t="s">
        <v>35</v>
      </c>
    </row>
    <row r="920" spans="2:8" s="1" customFormat="1" x14ac:dyDescent="0.15">
      <c r="B920" s="32">
        <v>300182</v>
      </c>
      <c r="C920" s="2" t="s">
        <v>2</v>
      </c>
      <c r="D920" s="9">
        <f>ROUND(C12*680,0)</f>
        <v>7140</v>
      </c>
      <c r="E920" s="3" t="s">
        <v>3</v>
      </c>
      <c r="F920" s="11">
        <f>ROUND(C12*880,0)</f>
        <v>9240</v>
      </c>
      <c r="G920" s="4" t="s">
        <v>8</v>
      </c>
      <c r="H920" s="17" t="s">
        <v>23</v>
      </c>
    </row>
    <row r="921" spans="2:8" s="1" customFormat="1" ht="13.5" customHeight="1" x14ac:dyDescent="0.15">
      <c r="B921" s="33"/>
      <c r="C921" s="5" t="s">
        <v>4</v>
      </c>
      <c r="D921" s="9">
        <f>ROUND(C12*880,0)</f>
        <v>9240</v>
      </c>
      <c r="E921" s="6" t="s">
        <v>5</v>
      </c>
      <c r="F921" s="11">
        <f>ROUND(C12*476,0)</f>
        <v>4998</v>
      </c>
      <c r="G921" s="35">
        <v>100</v>
      </c>
      <c r="H921" s="17"/>
    </row>
    <row r="922" spans="2:8" s="1" customFormat="1" ht="13.5" customHeight="1" x14ac:dyDescent="0.15">
      <c r="B922" s="33"/>
      <c r="C922" s="7" t="s">
        <v>6</v>
      </c>
      <c r="D922" s="10">
        <v>7</v>
      </c>
      <c r="E922" s="8" t="s">
        <v>7</v>
      </c>
      <c r="F922" s="12">
        <f>ROUND(C12*450,0)</f>
        <v>4725</v>
      </c>
      <c r="G922" s="36"/>
      <c r="H922" s="17"/>
    </row>
    <row r="923" spans="2:8" s="1" customFormat="1" ht="14.25" thickBot="1" x14ac:dyDescent="0.2">
      <c r="B923" s="34"/>
      <c r="C923" s="18" t="s">
        <v>16</v>
      </c>
      <c r="D923" s="19" t="s">
        <v>405</v>
      </c>
      <c r="E923" s="20" t="s">
        <v>17</v>
      </c>
      <c r="F923" s="21" t="s">
        <v>36</v>
      </c>
      <c r="G923" s="22" t="s">
        <v>20</v>
      </c>
      <c r="H923" s="23" t="s">
        <v>37</v>
      </c>
    </row>
    <row r="924" spans="2:8" s="1" customFormat="1" x14ac:dyDescent="0.15">
      <c r="B924" s="13" t="s">
        <v>1</v>
      </c>
      <c r="C924" s="14" t="s">
        <v>0</v>
      </c>
      <c r="D924" s="29" t="s">
        <v>332</v>
      </c>
      <c r="E924" s="30"/>
      <c r="F924" s="31"/>
      <c r="G924" s="15" t="s">
        <v>57</v>
      </c>
      <c r="H924" s="16" t="s">
        <v>41</v>
      </c>
    </row>
    <row r="925" spans="2:8" s="1" customFormat="1" x14ac:dyDescent="0.15">
      <c r="B925" s="32">
        <v>300183</v>
      </c>
      <c r="C925" s="2" t="s">
        <v>2</v>
      </c>
      <c r="D925" s="9">
        <f>ROUND(C12*680,0)</f>
        <v>7140</v>
      </c>
      <c r="E925" s="3" t="s">
        <v>3</v>
      </c>
      <c r="F925" s="11">
        <f>ROUND(C12*1936,0)</f>
        <v>20328</v>
      </c>
      <c r="G925" s="4" t="s">
        <v>8</v>
      </c>
      <c r="H925" s="17" t="s">
        <v>25</v>
      </c>
    </row>
    <row r="926" spans="2:8" s="1" customFormat="1" ht="13.5" customHeight="1" x14ac:dyDescent="0.15">
      <c r="B926" s="33"/>
      <c r="C926" s="5" t="s">
        <v>4</v>
      </c>
      <c r="D926" s="9">
        <f>ROUND(C12*880,0)</f>
        <v>9240</v>
      </c>
      <c r="E926" s="6" t="s">
        <v>5</v>
      </c>
      <c r="F926" s="11">
        <f>ROUND(C12*980,0)</f>
        <v>10290</v>
      </c>
      <c r="G926" s="35">
        <v>100</v>
      </c>
      <c r="H926" s="17"/>
    </row>
    <row r="927" spans="2:8" s="1" customFormat="1" ht="13.5" customHeight="1" x14ac:dyDescent="0.15">
      <c r="B927" s="33"/>
      <c r="C927" s="7" t="s">
        <v>6</v>
      </c>
      <c r="D927" s="10">
        <v>4</v>
      </c>
      <c r="E927" s="8" t="s">
        <v>7</v>
      </c>
      <c r="F927" s="12">
        <f>ROUND(C12*520,0)</f>
        <v>5460</v>
      </c>
      <c r="G927" s="36"/>
      <c r="H927" s="17"/>
    </row>
    <row r="928" spans="2:8" s="1" customFormat="1" ht="14.25" thickBot="1" x14ac:dyDescent="0.2">
      <c r="B928" s="34"/>
      <c r="C928" s="18" t="s">
        <v>16</v>
      </c>
      <c r="D928" s="19" t="s">
        <v>113</v>
      </c>
      <c r="E928" s="20" t="s">
        <v>17</v>
      </c>
      <c r="F928" s="21" t="s">
        <v>93</v>
      </c>
      <c r="G928" s="22" t="s">
        <v>20</v>
      </c>
      <c r="H928" s="23" t="s">
        <v>37</v>
      </c>
    </row>
    <row r="929" spans="2:8" s="1" customFormat="1" x14ac:dyDescent="0.15">
      <c r="B929" s="13" t="s">
        <v>1</v>
      </c>
      <c r="C929" s="14" t="s">
        <v>0</v>
      </c>
      <c r="D929" s="29" t="s">
        <v>333</v>
      </c>
      <c r="E929" s="30"/>
      <c r="F929" s="31"/>
      <c r="G929" s="15" t="s">
        <v>57</v>
      </c>
      <c r="H929" s="16" t="s">
        <v>334</v>
      </c>
    </row>
    <row r="930" spans="2:8" s="1" customFormat="1" x14ac:dyDescent="0.15">
      <c r="B930" s="32">
        <v>300184</v>
      </c>
      <c r="C930" s="2" t="s">
        <v>2</v>
      </c>
      <c r="D930" s="9">
        <f>ROUND(C12*680,0)</f>
        <v>7140</v>
      </c>
      <c r="E930" s="3" t="s">
        <v>3</v>
      </c>
      <c r="F930" s="11">
        <f>ROUND(C12*880,0)</f>
        <v>9240</v>
      </c>
      <c r="G930" s="4" t="s">
        <v>8</v>
      </c>
      <c r="H930" s="17" t="s">
        <v>96</v>
      </c>
    </row>
    <row r="931" spans="2:8" s="1" customFormat="1" ht="13.5" customHeight="1" x14ac:dyDescent="0.15">
      <c r="B931" s="33"/>
      <c r="C931" s="5" t="s">
        <v>4</v>
      </c>
      <c r="D931" s="9">
        <f>ROUND(C12*880,0)</f>
        <v>9240</v>
      </c>
      <c r="E931" s="6" t="s">
        <v>5</v>
      </c>
      <c r="F931" s="11">
        <f>ROUND(C12*476,0)</f>
        <v>4998</v>
      </c>
      <c r="G931" s="35">
        <v>50</v>
      </c>
      <c r="H931" s="17"/>
    </row>
    <row r="932" spans="2:8" s="1" customFormat="1" ht="13.5" customHeight="1" x14ac:dyDescent="0.15">
      <c r="B932" s="33"/>
      <c r="C932" s="7" t="s">
        <v>6</v>
      </c>
      <c r="D932" s="10">
        <v>7</v>
      </c>
      <c r="E932" s="8" t="s">
        <v>7</v>
      </c>
      <c r="F932" s="12">
        <f>ROUND(C12*400,0)</f>
        <v>4200</v>
      </c>
      <c r="G932" s="36"/>
      <c r="H932" s="17"/>
    </row>
    <row r="933" spans="2:8" s="1" customFormat="1" ht="14.25" thickBot="1" x14ac:dyDescent="0.2">
      <c r="B933" s="34"/>
      <c r="C933" s="18" t="s">
        <v>16</v>
      </c>
      <c r="D933" s="19" t="s">
        <v>258</v>
      </c>
      <c r="E933" s="20" t="s">
        <v>17</v>
      </c>
      <c r="F933" s="21" t="s">
        <v>85</v>
      </c>
      <c r="G933" s="22" t="s">
        <v>20</v>
      </c>
      <c r="H933" s="23" t="s">
        <v>121</v>
      </c>
    </row>
    <row r="934" spans="2:8" s="1" customFormat="1" x14ac:dyDescent="0.15">
      <c r="B934" s="13" t="s">
        <v>1</v>
      </c>
      <c r="C934" s="14" t="s">
        <v>0</v>
      </c>
      <c r="D934" s="29" t="s">
        <v>335</v>
      </c>
      <c r="E934" s="30"/>
      <c r="F934" s="31"/>
      <c r="G934" s="15" t="s">
        <v>57</v>
      </c>
      <c r="H934" s="16" t="s">
        <v>35</v>
      </c>
    </row>
    <row r="935" spans="2:8" s="1" customFormat="1" x14ac:dyDescent="0.15">
      <c r="B935" s="32">
        <v>300185</v>
      </c>
      <c r="C935" s="2" t="s">
        <v>2</v>
      </c>
      <c r="D935" s="9">
        <f>ROUND(C12*680,0)</f>
        <v>7140</v>
      </c>
      <c r="E935" s="3" t="s">
        <v>3</v>
      </c>
      <c r="F935" s="11">
        <f>ROUND(C12*1936,0)</f>
        <v>20328</v>
      </c>
      <c r="G935" s="4" t="s">
        <v>8</v>
      </c>
      <c r="H935" s="17" t="s">
        <v>23</v>
      </c>
    </row>
    <row r="936" spans="2:8" s="1" customFormat="1" ht="13.5" customHeight="1" x14ac:dyDescent="0.15">
      <c r="B936" s="33"/>
      <c r="C936" s="5" t="s">
        <v>4</v>
      </c>
      <c r="D936" s="9">
        <f>ROUND(C12*880,0)</f>
        <v>9240</v>
      </c>
      <c r="E936" s="6" t="s">
        <v>5</v>
      </c>
      <c r="F936" s="11">
        <f>ROUND(C12*980,0)</f>
        <v>10290</v>
      </c>
      <c r="G936" s="35">
        <v>100</v>
      </c>
      <c r="H936" s="17"/>
    </row>
    <row r="937" spans="2:8" s="1" customFormat="1" ht="13.5" customHeight="1" x14ac:dyDescent="0.15">
      <c r="B937" s="33"/>
      <c r="C937" s="7" t="s">
        <v>6</v>
      </c>
      <c r="D937" s="10">
        <v>4</v>
      </c>
      <c r="E937" s="8" t="s">
        <v>7</v>
      </c>
      <c r="F937" s="12">
        <f>ROUND(C12*470,0)</f>
        <v>4935</v>
      </c>
      <c r="G937" s="36"/>
      <c r="H937" s="17"/>
    </row>
    <row r="938" spans="2:8" s="1" customFormat="1" ht="14.25" thickBot="1" x14ac:dyDescent="0.2">
      <c r="B938" s="34"/>
      <c r="C938" s="18" t="s">
        <v>16</v>
      </c>
      <c r="D938" s="19" t="s">
        <v>257</v>
      </c>
      <c r="E938" s="20" t="s">
        <v>17</v>
      </c>
      <c r="F938" s="21" t="s">
        <v>218</v>
      </c>
      <c r="G938" s="22" t="s">
        <v>20</v>
      </c>
      <c r="H938" s="23" t="s">
        <v>37</v>
      </c>
    </row>
    <row r="939" spans="2:8" s="1" customFormat="1" x14ac:dyDescent="0.15">
      <c r="B939" s="13" t="s">
        <v>1</v>
      </c>
      <c r="C939" s="14" t="s">
        <v>0</v>
      </c>
      <c r="D939" s="29" t="s">
        <v>336</v>
      </c>
      <c r="E939" s="30"/>
      <c r="F939" s="31"/>
      <c r="G939" s="15" t="s">
        <v>57</v>
      </c>
      <c r="H939" s="16" t="s">
        <v>337</v>
      </c>
    </row>
    <row r="940" spans="2:8" s="1" customFormat="1" x14ac:dyDescent="0.15">
      <c r="B940" s="32">
        <v>300186</v>
      </c>
      <c r="C940" s="2" t="s">
        <v>2</v>
      </c>
      <c r="D940" s="9">
        <f>ROUND(C12*680,0)</f>
        <v>7140</v>
      </c>
      <c r="E940" s="3" t="s">
        <v>3</v>
      </c>
      <c r="F940" s="11">
        <f>ROUND(C12*880,0)</f>
        <v>9240</v>
      </c>
      <c r="G940" s="4" t="s">
        <v>8</v>
      </c>
      <c r="H940" s="17" t="s">
        <v>140</v>
      </c>
    </row>
    <row r="941" spans="2:8" s="1" customFormat="1" ht="13.5" customHeight="1" x14ac:dyDescent="0.15">
      <c r="B941" s="33"/>
      <c r="C941" s="5" t="s">
        <v>4</v>
      </c>
      <c r="D941" s="9">
        <f>ROUND(C12*880,0)</f>
        <v>9240</v>
      </c>
      <c r="E941" s="6" t="s">
        <v>5</v>
      </c>
      <c r="F941" s="11">
        <f>ROUND(C12*476,0)</f>
        <v>4998</v>
      </c>
      <c r="G941" s="35">
        <v>50</v>
      </c>
      <c r="H941" s="17"/>
    </row>
    <row r="942" spans="2:8" s="1" customFormat="1" ht="13.5" customHeight="1" x14ac:dyDescent="0.15">
      <c r="B942" s="33"/>
      <c r="C942" s="7" t="s">
        <v>6</v>
      </c>
      <c r="D942" s="10">
        <v>7</v>
      </c>
      <c r="E942" s="8" t="s">
        <v>7</v>
      </c>
      <c r="F942" s="12">
        <f>ROUND(C12*430,0)</f>
        <v>4515</v>
      </c>
      <c r="G942" s="36"/>
      <c r="H942" s="17"/>
    </row>
    <row r="943" spans="2:8" s="1" customFormat="1" ht="14.25" thickBot="1" x14ac:dyDescent="0.2">
      <c r="B943" s="34"/>
      <c r="C943" s="18" t="s">
        <v>16</v>
      </c>
      <c r="D943" s="19" t="s">
        <v>294</v>
      </c>
      <c r="E943" s="20" t="s">
        <v>17</v>
      </c>
      <c r="F943" s="21" t="s">
        <v>113</v>
      </c>
      <c r="G943" s="22" t="s">
        <v>20</v>
      </c>
      <c r="H943" s="23" t="s">
        <v>278</v>
      </c>
    </row>
    <row r="944" spans="2:8" s="1" customFormat="1" x14ac:dyDescent="0.15">
      <c r="B944" s="13" t="s">
        <v>1</v>
      </c>
      <c r="C944" s="14" t="s">
        <v>0</v>
      </c>
      <c r="D944" s="29" t="s">
        <v>338</v>
      </c>
      <c r="E944" s="30"/>
      <c r="F944" s="31"/>
      <c r="G944" s="15" t="s">
        <v>57</v>
      </c>
      <c r="H944" s="16" t="s">
        <v>116</v>
      </c>
    </row>
    <row r="945" spans="2:8" s="1" customFormat="1" x14ac:dyDescent="0.15">
      <c r="B945" s="32">
        <v>300187</v>
      </c>
      <c r="C945" s="2" t="s">
        <v>2</v>
      </c>
      <c r="D945" s="9">
        <f>ROUND(C12*680,0)</f>
        <v>7140</v>
      </c>
      <c r="E945" s="3" t="s">
        <v>3</v>
      </c>
      <c r="F945" s="11">
        <f>ROUND(C12*880,0)</f>
        <v>9240</v>
      </c>
      <c r="G945" s="4" t="s">
        <v>8</v>
      </c>
      <c r="H945" s="17" t="s">
        <v>117</v>
      </c>
    </row>
    <row r="946" spans="2:8" s="1" customFormat="1" ht="13.5" customHeight="1" x14ac:dyDescent="0.15">
      <c r="B946" s="33"/>
      <c r="C946" s="5" t="s">
        <v>4</v>
      </c>
      <c r="D946" s="9">
        <f>ROUND(C12*880,0)</f>
        <v>9240</v>
      </c>
      <c r="E946" s="6" t="s">
        <v>5</v>
      </c>
      <c r="F946" s="11">
        <f>ROUND(C12*476,0)</f>
        <v>4998</v>
      </c>
      <c r="G946" s="35">
        <v>100</v>
      </c>
      <c r="H946" s="17"/>
    </row>
    <row r="947" spans="2:8" s="1" customFormat="1" ht="13.5" customHeight="1" x14ac:dyDescent="0.15">
      <c r="B947" s="33"/>
      <c r="C947" s="7" t="s">
        <v>6</v>
      </c>
      <c r="D947" s="10">
        <v>7</v>
      </c>
      <c r="E947" s="8" t="s">
        <v>7</v>
      </c>
      <c r="F947" s="12">
        <f>ROUND(C12*450,0)</f>
        <v>4725</v>
      </c>
      <c r="G947" s="36"/>
      <c r="H947" s="17"/>
    </row>
    <row r="948" spans="2:8" s="1" customFormat="1" ht="14.25" thickBot="1" x14ac:dyDescent="0.2">
      <c r="B948" s="34"/>
      <c r="C948" s="18" t="s">
        <v>16</v>
      </c>
      <c r="D948" s="19" t="s">
        <v>32</v>
      </c>
      <c r="E948" s="20" t="s">
        <v>17</v>
      </c>
      <c r="F948" s="21" t="s">
        <v>33</v>
      </c>
      <c r="G948" s="22" t="s">
        <v>20</v>
      </c>
      <c r="H948" s="23" t="s">
        <v>37</v>
      </c>
    </row>
    <row r="949" spans="2:8" s="1" customFormat="1" x14ac:dyDescent="0.15">
      <c r="B949" s="13" t="s">
        <v>1</v>
      </c>
      <c r="C949" s="14" t="s">
        <v>0</v>
      </c>
      <c r="D949" s="29" t="s">
        <v>339</v>
      </c>
      <c r="E949" s="30"/>
      <c r="F949" s="31"/>
      <c r="G949" s="15" t="s">
        <v>57</v>
      </c>
      <c r="H949" s="16" t="s">
        <v>131</v>
      </c>
    </row>
    <row r="950" spans="2:8" s="1" customFormat="1" x14ac:dyDescent="0.15">
      <c r="B950" s="32">
        <v>300188</v>
      </c>
      <c r="C950" s="2" t="s">
        <v>2</v>
      </c>
      <c r="D950" s="9">
        <f>ROUND(C12*680,0)</f>
        <v>7140</v>
      </c>
      <c r="E950" s="3" t="s">
        <v>3</v>
      </c>
      <c r="F950" s="11">
        <f>ROUND(C12*1936,0)</f>
        <v>20328</v>
      </c>
      <c r="G950" s="4" t="s">
        <v>8</v>
      </c>
      <c r="H950" s="17" t="s">
        <v>132</v>
      </c>
    </row>
    <row r="951" spans="2:8" s="1" customFormat="1" ht="13.5" customHeight="1" x14ac:dyDescent="0.15">
      <c r="B951" s="33"/>
      <c r="C951" s="5" t="s">
        <v>4</v>
      </c>
      <c r="D951" s="9">
        <f>ROUND(C12*880,0)</f>
        <v>9240</v>
      </c>
      <c r="E951" s="6" t="s">
        <v>5</v>
      </c>
      <c r="F951" s="11">
        <f>ROUND(C12*980,0)</f>
        <v>10290</v>
      </c>
      <c r="G951" s="35">
        <v>100</v>
      </c>
      <c r="H951" s="17"/>
    </row>
    <row r="952" spans="2:8" s="1" customFormat="1" ht="13.5" customHeight="1" x14ac:dyDescent="0.15">
      <c r="B952" s="33"/>
      <c r="C952" s="7" t="s">
        <v>6</v>
      </c>
      <c r="D952" s="10">
        <v>4</v>
      </c>
      <c r="E952" s="8" t="s">
        <v>7</v>
      </c>
      <c r="F952" s="12">
        <f>ROUND(C12*410,0)</f>
        <v>4305</v>
      </c>
      <c r="G952" s="36"/>
      <c r="H952" s="17"/>
    </row>
    <row r="953" spans="2:8" s="1" customFormat="1" ht="14.25" thickBot="1" x14ac:dyDescent="0.2">
      <c r="B953" s="34"/>
      <c r="C953" s="18" t="s">
        <v>16</v>
      </c>
      <c r="D953" s="19" t="s">
        <v>32</v>
      </c>
      <c r="E953" s="20" t="s">
        <v>17</v>
      </c>
      <c r="F953" s="21" t="s">
        <v>293</v>
      </c>
      <c r="G953" s="22" t="s">
        <v>20</v>
      </c>
      <c r="H953" s="23" t="s">
        <v>37</v>
      </c>
    </row>
    <row r="954" spans="2:8" s="1" customFormat="1" x14ac:dyDescent="0.15">
      <c r="B954" s="13" t="s">
        <v>1</v>
      </c>
      <c r="C954" s="14" t="s">
        <v>0</v>
      </c>
      <c r="D954" s="29" t="s">
        <v>340</v>
      </c>
      <c r="E954" s="30"/>
      <c r="F954" s="31"/>
      <c r="G954" s="15" t="s">
        <v>57</v>
      </c>
      <c r="H954" s="16" t="s">
        <v>341</v>
      </c>
    </row>
    <row r="955" spans="2:8" s="1" customFormat="1" x14ac:dyDescent="0.15">
      <c r="B955" s="32">
        <v>300189</v>
      </c>
      <c r="C955" s="2" t="s">
        <v>2</v>
      </c>
      <c r="D955" s="9">
        <f>ROUND(C12*680,0)</f>
        <v>7140</v>
      </c>
      <c r="E955" s="3" t="s">
        <v>3</v>
      </c>
      <c r="F955" s="11">
        <f>ROUND(C12*880,0)</f>
        <v>9240</v>
      </c>
      <c r="G955" s="4" t="s">
        <v>8</v>
      </c>
      <c r="H955" s="17" t="s">
        <v>144</v>
      </c>
    </row>
    <row r="956" spans="2:8" s="1" customFormat="1" ht="13.5" customHeight="1" x14ac:dyDescent="0.15">
      <c r="B956" s="33"/>
      <c r="C956" s="5" t="s">
        <v>4</v>
      </c>
      <c r="D956" s="9">
        <f>ROUND(C12*880,0)</f>
        <v>9240</v>
      </c>
      <c r="E956" s="6" t="s">
        <v>5</v>
      </c>
      <c r="F956" s="11">
        <f>ROUND(C12*476,0)</f>
        <v>4998</v>
      </c>
      <c r="G956" s="35">
        <v>50</v>
      </c>
      <c r="H956" s="17"/>
    </row>
    <row r="957" spans="2:8" s="1" customFormat="1" ht="13.5" customHeight="1" x14ac:dyDescent="0.15">
      <c r="B957" s="33"/>
      <c r="C957" s="7" t="s">
        <v>6</v>
      </c>
      <c r="D957" s="10">
        <v>7</v>
      </c>
      <c r="E957" s="8" t="s">
        <v>7</v>
      </c>
      <c r="F957" s="12">
        <f>ROUND(C12*500,0)</f>
        <v>5250</v>
      </c>
      <c r="G957" s="36"/>
      <c r="H957" s="17"/>
    </row>
    <row r="958" spans="2:8" s="1" customFormat="1" ht="14.25" thickBot="1" x14ac:dyDescent="0.2">
      <c r="B958" s="34"/>
      <c r="C958" s="18" t="s">
        <v>16</v>
      </c>
      <c r="D958" s="19" t="s">
        <v>56</v>
      </c>
      <c r="E958" s="20" t="s">
        <v>17</v>
      </c>
      <c r="F958" s="21" t="s">
        <v>93</v>
      </c>
      <c r="G958" s="22" t="s">
        <v>20</v>
      </c>
      <c r="H958" s="23" t="s">
        <v>125</v>
      </c>
    </row>
    <row r="959" spans="2:8" s="1" customFormat="1" x14ac:dyDescent="0.15">
      <c r="B959" s="13" t="s">
        <v>1</v>
      </c>
      <c r="C959" s="14" t="s">
        <v>0</v>
      </c>
      <c r="D959" s="29" t="s">
        <v>342</v>
      </c>
      <c r="E959" s="30"/>
      <c r="F959" s="31"/>
      <c r="G959" s="15" t="s">
        <v>57</v>
      </c>
      <c r="H959" s="16" t="s">
        <v>163</v>
      </c>
    </row>
    <row r="960" spans="2:8" s="1" customFormat="1" x14ac:dyDescent="0.15">
      <c r="B960" s="32">
        <v>300190</v>
      </c>
      <c r="C960" s="2" t="s">
        <v>2</v>
      </c>
      <c r="D960" s="9">
        <f>ROUND(C12*680,0)</f>
        <v>7140</v>
      </c>
      <c r="E960" s="3" t="s">
        <v>3</v>
      </c>
      <c r="F960" s="11">
        <f>ROUND(C12*880,0)</f>
        <v>9240</v>
      </c>
      <c r="G960" s="4" t="s">
        <v>8</v>
      </c>
      <c r="H960" s="17" t="s">
        <v>164</v>
      </c>
    </row>
    <row r="961" spans="2:8" s="1" customFormat="1" ht="13.5" customHeight="1" x14ac:dyDescent="0.15">
      <c r="B961" s="33"/>
      <c r="C961" s="5" t="s">
        <v>4</v>
      </c>
      <c r="D961" s="9">
        <f>ROUND(C12*880,0)</f>
        <v>9240</v>
      </c>
      <c r="E961" s="6" t="s">
        <v>5</v>
      </c>
      <c r="F961" s="11">
        <f>ROUND(C12*476,0)</f>
        <v>4998</v>
      </c>
      <c r="G961" s="35">
        <v>50</v>
      </c>
      <c r="H961" s="17"/>
    </row>
    <row r="962" spans="2:8" s="1" customFormat="1" ht="13.5" customHeight="1" x14ac:dyDescent="0.15">
      <c r="B962" s="33"/>
      <c r="C962" s="7" t="s">
        <v>6</v>
      </c>
      <c r="D962" s="10">
        <v>7</v>
      </c>
      <c r="E962" s="8" t="s">
        <v>7</v>
      </c>
      <c r="F962" s="12">
        <f>ROUND(C12*400,0)</f>
        <v>4200</v>
      </c>
      <c r="G962" s="36"/>
      <c r="H962" s="17"/>
    </row>
    <row r="963" spans="2:8" s="1" customFormat="1" ht="14.25" thickBot="1" x14ac:dyDescent="0.2">
      <c r="B963" s="34"/>
      <c r="C963" s="18" t="s">
        <v>16</v>
      </c>
      <c r="D963" s="19" t="s">
        <v>82</v>
      </c>
      <c r="E963" s="20" t="s">
        <v>17</v>
      </c>
      <c r="F963" s="21" t="s">
        <v>45</v>
      </c>
      <c r="G963" s="22" t="s">
        <v>20</v>
      </c>
      <c r="H963" s="23" t="s">
        <v>136</v>
      </c>
    </row>
    <row r="964" spans="2:8" s="1" customFormat="1" x14ac:dyDescent="0.15">
      <c r="B964" s="13" t="s">
        <v>1</v>
      </c>
      <c r="C964" s="14" t="s">
        <v>0</v>
      </c>
      <c r="D964" s="29" t="s">
        <v>343</v>
      </c>
      <c r="E964" s="30"/>
      <c r="F964" s="31"/>
      <c r="G964" s="15" t="s">
        <v>57</v>
      </c>
      <c r="H964" s="16" t="s">
        <v>55</v>
      </c>
    </row>
    <row r="965" spans="2:8" s="1" customFormat="1" x14ac:dyDescent="0.15">
      <c r="B965" s="32">
        <v>300191</v>
      </c>
      <c r="C965" s="2" t="s">
        <v>2</v>
      </c>
      <c r="D965" s="9">
        <f>ROUND(C12*680,0)</f>
        <v>7140</v>
      </c>
      <c r="E965" s="3" t="s">
        <v>3</v>
      </c>
      <c r="F965" s="11">
        <f>ROUND(C12*880,0)</f>
        <v>9240</v>
      </c>
      <c r="G965" s="4" t="s">
        <v>8</v>
      </c>
      <c r="H965" s="17" t="s">
        <v>30</v>
      </c>
    </row>
    <row r="966" spans="2:8" s="1" customFormat="1" ht="13.5" customHeight="1" x14ac:dyDescent="0.15">
      <c r="B966" s="33"/>
      <c r="C966" s="5" t="s">
        <v>4</v>
      </c>
      <c r="D966" s="9">
        <f>ROUND(C12*880,0)</f>
        <v>9240</v>
      </c>
      <c r="E966" s="6" t="s">
        <v>5</v>
      </c>
      <c r="F966" s="11">
        <f>ROUND(C12*476,0)</f>
        <v>4998</v>
      </c>
      <c r="G966" s="35">
        <v>100</v>
      </c>
      <c r="H966" s="17"/>
    </row>
    <row r="967" spans="2:8" s="1" customFormat="1" ht="13.5" customHeight="1" x14ac:dyDescent="0.15">
      <c r="B967" s="33"/>
      <c r="C967" s="7" t="s">
        <v>6</v>
      </c>
      <c r="D967" s="10">
        <v>7</v>
      </c>
      <c r="E967" s="8" t="s">
        <v>7</v>
      </c>
      <c r="F967" s="12">
        <f>ROUND(C12*470,0)</f>
        <v>4935</v>
      </c>
      <c r="G967" s="36"/>
      <c r="H967" s="17"/>
    </row>
    <row r="968" spans="2:8" s="1" customFormat="1" ht="14.25" thickBot="1" x14ac:dyDescent="0.2">
      <c r="B968" s="34"/>
      <c r="C968" s="18" t="s">
        <v>16</v>
      </c>
      <c r="D968" s="19" t="s">
        <v>397</v>
      </c>
      <c r="E968" s="20" t="s">
        <v>17</v>
      </c>
      <c r="F968" s="21" t="s">
        <v>52</v>
      </c>
      <c r="G968" s="22" t="s">
        <v>20</v>
      </c>
      <c r="H968" s="23" t="s">
        <v>37</v>
      </c>
    </row>
    <row r="969" spans="2:8" s="1" customFormat="1" x14ac:dyDescent="0.15">
      <c r="B969" s="13" t="s">
        <v>1</v>
      </c>
      <c r="C969" s="14" t="s">
        <v>0</v>
      </c>
      <c r="D969" s="29" t="s">
        <v>344</v>
      </c>
      <c r="E969" s="30"/>
      <c r="F969" s="31"/>
      <c r="G969" s="15" t="s">
        <v>57</v>
      </c>
      <c r="H969" s="16" t="s">
        <v>35</v>
      </c>
    </row>
    <row r="970" spans="2:8" s="1" customFormat="1" x14ac:dyDescent="0.15">
      <c r="B970" s="32">
        <v>300192</v>
      </c>
      <c r="C970" s="2" t="s">
        <v>2</v>
      </c>
      <c r="D970" s="9">
        <f>ROUND(C12*680,0)</f>
        <v>7140</v>
      </c>
      <c r="E970" s="3" t="s">
        <v>3</v>
      </c>
      <c r="F970" s="11">
        <f>ROUND(C12*1936,0)</f>
        <v>20328</v>
      </c>
      <c r="G970" s="4" t="s">
        <v>8</v>
      </c>
      <c r="H970" s="17" t="s">
        <v>23</v>
      </c>
    </row>
    <row r="971" spans="2:8" s="1" customFormat="1" ht="13.5" customHeight="1" x14ac:dyDescent="0.15">
      <c r="B971" s="33"/>
      <c r="C971" s="5" t="s">
        <v>4</v>
      </c>
      <c r="D971" s="9">
        <f>ROUND(C12*880,0)</f>
        <v>9240</v>
      </c>
      <c r="E971" s="6" t="s">
        <v>5</v>
      </c>
      <c r="F971" s="11">
        <f>ROUND(C12*980,0)</f>
        <v>10290</v>
      </c>
      <c r="G971" s="35">
        <v>100</v>
      </c>
      <c r="H971" s="17"/>
    </row>
    <row r="972" spans="2:8" s="1" customFormat="1" ht="13.5" customHeight="1" x14ac:dyDescent="0.15">
      <c r="B972" s="33"/>
      <c r="C972" s="7" t="s">
        <v>6</v>
      </c>
      <c r="D972" s="10">
        <v>4</v>
      </c>
      <c r="E972" s="8" t="s">
        <v>7</v>
      </c>
      <c r="F972" s="12">
        <f>ROUND(C12*430,0)</f>
        <v>4515</v>
      </c>
      <c r="G972" s="36"/>
      <c r="H972" s="17"/>
    </row>
    <row r="973" spans="2:8" s="1" customFormat="1" ht="14.25" thickBot="1" x14ac:dyDescent="0.2">
      <c r="B973" s="34"/>
      <c r="C973" s="18" t="s">
        <v>16</v>
      </c>
      <c r="D973" s="19" t="s">
        <v>430</v>
      </c>
      <c r="E973" s="20" t="s">
        <v>17</v>
      </c>
      <c r="F973" s="21" t="s">
        <v>294</v>
      </c>
      <c r="G973" s="22" t="s">
        <v>20</v>
      </c>
      <c r="H973" s="23" t="s">
        <v>37</v>
      </c>
    </row>
    <row r="974" spans="2:8" s="1" customFormat="1" x14ac:dyDescent="0.15">
      <c r="B974" s="13" t="s">
        <v>1</v>
      </c>
      <c r="C974" s="14" t="s">
        <v>0</v>
      </c>
      <c r="D974" s="29" t="s">
        <v>345</v>
      </c>
      <c r="E974" s="30"/>
      <c r="F974" s="31"/>
      <c r="G974" s="15" t="s">
        <v>57</v>
      </c>
      <c r="H974" s="16" t="s">
        <v>128</v>
      </c>
    </row>
    <row r="975" spans="2:8" s="1" customFormat="1" x14ac:dyDescent="0.15">
      <c r="B975" s="32">
        <v>300193</v>
      </c>
      <c r="C975" s="2" t="s">
        <v>2</v>
      </c>
      <c r="D975" s="9">
        <f>ROUND(C12*680,0)</f>
        <v>7140</v>
      </c>
      <c r="E975" s="3" t="s">
        <v>3</v>
      </c>
      <c r="F975" s="11">
        <f>ROUND(C12*880,0)</f>
        <v>9240</v>
      </c>
      <c r="G975" s="4" t="s">
        <v>8</v>
      </c>
      <c r="H975" s="17" t="s">
        <v>129</v>
      </c>
    </row>
    <row r="976" spans="2:8" s="1" customFormat="1" ht="13.5" customHeight="1" x14ac:dyDescent="0.15">
      <c r="B976" s="33"/>
      <c r="C976" s="5" t="s">
        <v>4</v>
      </c>
      <c r="D976" s="9">
        <f>ROUND(C12*880,0)</f>
        <v>9240</v>
      </c>
      <c r="E976" s="6" t="s">
        <v>5</v>
      </c>
      <c r="F976" s="11">
        <f>ROUND(C12*476,0)</f>
        <v>4998</v>
      </c>
      <c r="G976" s="35">
        <v>100</v>
      </c>
      <c r="H976" s="17"/>
    </row>
    <row r="977" spans="2:8" s="1" customFormat="1" ht="13.5" customHeight="1" x14ac:dyDescent="0.15">
      <c r="B977" s="33"/>
      <c r="C977" s="7" t="s">
        <v>6</v>
      </c>
      <c r="D977" s="10">
        <v>7</v>
      </c>
      <c r="E977" s="8" t="s">
        <v>7</v>
      </c>
      <c r="F977" s="12">
        <f>ROUND(C12*520,0)</f>
        <v>5460</v>
      </c>
      <c r="G977" s="36"/>
      <c r="H977" s="17"/>
    </row>
    <row r="978" spans="2:8" s="1" customFormat="1" ht="14.25" thickBot="1" x14ac:dyDescent="0.2">
      <c r="B978" s="34"/>
      <c r="C978" s="18" t="s">
        <v>16</v>
      </c>
      <c r="D978" s="19" t="s">
        <v>397</v>
      </c>
      <c r="E978" s="20" t="s">
        <v>17</v>
      </c>
      <c r="F978" s="21" t="s">
        <v>85</v>
      </c>
      <c r="G978" s="22" t="s">
        <v>20</v>
      </c>
      <c r="H978" s="23" t="s">
        <v>37</v>
      </c>
    </row>
    <row r="979" spans="2:8" s="1" customFormat="1" x14ac:dyDescent="0.15">
      <c r="B979" s="13" t="s">
        <v>1</v>
      </c>
      <c r="C979" s="14" t="s">
        <v>0</v>
      </c>
      <c r="D979" s="29" t="s">
        <v>346</v>
      </c>
      <c r="E979" s="30"/>
      <c r="F979" s="31"/>
      <c r="G979" s="15" t="s">
        <v>57</v>
      </c>
      <c r="H979" s="16" t="s">
        <v>77</v>
      </c>
    </row>
    <row r="980" spans="2:8" s="1" customFormat="1" x14ac:dyDescent="0.15">
      <c r="B980" s="32">
        <v>300194</v>
      </c>
      <c r="C980" s="2" t="s">
        <v>2</v>
      </c>
      <c r="D980" s="9">
        <f>ROUND(C12*680,0)</f>
        <v>7140</v>
      </c>
      <c r="E980" s="3" t="s">
        <v>3</v>
      </c>
      <c r="F980" s="11">
        <f>ROUND(C12*1936,0)</f>
        <v>20328</v>
      </c>
      <c r="G980" s="4" t="s">
        <v>8</v>
      </c>
      <c r="H980" s="17" t="s">
        <v>78</v>
      </c>
    </row>
    <row r="981" spans="2:8" s="1" customFormat="1" ht="13.5" customHeight="1" x14ac:dyDescent="0.15">
      <c r="B981" s="33"/>
      <c r="C981" s="5" t="s">
        <v>4</v>
      </c>
      <c r="D981" s="9">
        <f>ROUND(C12*880,0)</f>
        <v>9240</v>
      </c>
      <c r="E981" s="6" t="s">
        <v>5</v>
      </c>
      <c r="F981" s="11">
        <f>ROUND(C12*980,0)</f>
        <v>10290</v>
      </c>
      <c r="G981" s="35">
        <v>100</v>
      </c>
      <c r="H981" s="17"/>
    </row>
    <row r="982" spans="2:8" s="1" customFormat="1" ht="13.5" customHeight="1" x14ac:dyDescent="0.15">
      <c r="B982" s="33"/>
      <c r="C982" s="7" t="s">
        <v>6</v>
      </c>
      <c r="D982" s="10">
        <v>4</v>
      </c>
      <c r="E982" s="8" t="s">
        <v>7</v>
      </c>
      <c r="F982" s="12">
        <f>ROUND(C12*450,0)</f>
        <v>4725</v>
      </c>
      <c r="G982" s="36"/>
      <c r="H982" s="17"/>
    </row>
    <row r="983" spans="2:8" s="1" customFormat="1" ht="14.25" thickBot="1" x14ac:dyDescent="0.2">
      <c r="B983" s="34"/>
      <c r="C983" s="18" t="s">
        <v>16</v>
      </c>
      <c r="D983" s="19" t="s">
        <v>48</v>
      </c>
      <c r="E983" s="20" t="s">
        <v>17</v>
      </c>
      <c r="F983" s="21" t="s">
        <v>293</v>
      </c>
      <c r="G983" s="22" t="s">
        <v>20</v>
      </c>
      <c r="H983" s="23" t="s">
        <v>37</v>
      </c>
    </row>
    <row r="984" spans="2:8" s="1" customFormat="1" x14ac:dyDescent="0.15">
      <c r="B984" s="13" t="s">
        <v>1</v>
      </c>
      <c r="C984" s="14" t="s">
        <v>0</v>
      </c>
      <c r="D984" s="29" t="s">
        <v>347</v>
      </c>
      <c r="E984" s="30"/>
      <c r="F984" s="31"/>
      <c r="G984" s="15" t="s">
        <v>57</v>
      </c>
      <c r="H984" s="16" t="s">
        <v>108</v>
      </c>
    </row>
    <row r="985" spans="2:8" s="1" customFormat="1" x14ac:dyDescent="0.15">
      <c r="B985" s="32">
        <v>300195</v>
      </c>
      <c r="C985" s="2" t="s">
        <v>2</v>
      </c>
      <c r="D985" s="9">
        <f>ROUND(C12*680,0)</f>
        <v>7140</v>
      </c>
      <c r="E985" s="3" t="s">
        <v>3</v>
      </c>
      <c r="F985" s="11">
        <f>ROUND(C12*880,0)</f>
        <v>9240</v>
      </c>
      <c r="G985" s="4" t="s">
        <v>8</v>
      </c>
      <c r="H985" s="17" t="s">
        <v>109</v>
      </c>
    </row>
    <row r="986" spans="2:8" s="1" customFormat="1" ht="13.5" customHeight="1" x14ac:dyDescent="0.15">
      <c r="B986" s="33"/>
      <c r="C986" s="5" t="s">
        <v>4</v>
      </c>
      <c r="D986" s="9">
        <f>ROUND(C12*880,0)</f>
        <v>9240</v>
      </c>
      <c r="E986" s="6" t="s">
        <v>5</v>
      </c>
      <c r="F986" s="11">
        <f>ROUND(C12*476,0)</f>
        <v>4998</v>
      </c>
      <c r="G986" s="35">
        <v>100</v>
      </c>
      <c r="H986" s="17"/>
    </row>
    <row r="987" spans="2:8" s="1" customFormat="1" ht="13.5" customHeight="1" x14ac:dyDescent="0.15">
      <c r="B987" s="33"/>
      <c r="C987" s="7" t="s">
        <v>6</v>
      </c>
      <c r="D987" s="10">
        <v>7</v>
      </c>
      <c r="E987" s="8" t="s">
        <v>7</v>
      </c>
      <c r="F987" s="12">
        <f>ROUND(C12*410,0)</f>
        <v>4305</v>
      </c>
      <c r="G987" s="36"/>
      <c r="H987" s="17"/>
    </row>
    <row r="988" spans="2:8" s="1" customFormat="1" ht="14.25" thickBot="1" x14ac:dyDescent="0.2">
      <c r="B988" s="34"/>
      <c r="C988" s="18" t="s">
        <v>16</v>
      </c>
      <c r="D988" s="19" t="s">
        <v>45</v>
      </c>
      <c r="E988" s="20" t="s">
        <v>17</v>
      </c>
      <c r="F988" s="21" t="s">
        <v>36</v>
      </c>
      <c r="G988" s="22" t="s">
        <v>20</v>
      </c>
      <c r="H988" s="23" t="s">
        <v>37</v>
      </c>
    </row>
    <row r="989" spans="2:8" s="1" customFormat="1" x14ac:dyDescent="0.15">
      <c r="B989" s="13" t="s">
        <v>1</v>
      </c>
      <c r="C989" s="14" t="s">
        <v>0</v>
      </c>
      <c r="D989" s="29" t="s">
        <v>348</v>
      </c>
      <c r="E989" s="30"/>
      <c r="F989" s="31"/>
      <c r="G989" s="15" t="s">
        <v>57</v>
      </c>
      <c r="H989" s="16" t="s">
        <v>139</v>
      </c>
    </row>
    <row r="990" spans="2:8" s="1" customFormat="1" x14ac:dyDescent="0.15">
      <c r="B990" s="32">
        <v>300196</v>
      </c>
      <c r="C990" s="2" t="s">
        <v>2</v>
      </c>
      <c r="D990" s="9">
        <f>ROUND(C12*680,0)</f>
        <v>7140</v>
      </c>
      <c r="E990" s="3" t="s">
        <v>3</v>
      </c>
      <c r="F990" s="11">
        <f>ROUND(C12*880,0)</f>
        <v>9240</v>
      </c>
      <c r="G990" s="4" t="s">
        <v>8</v>
      </c>
      <c r="H990" s="17" t="s">
        <v>140</v>
      </c>
    </row>
    <row r="991" spans="2:8" s="1" customFormat="1" ht="13.5" customHeight="1" x14ac:dyDescent="0.15">
      <c r="B991" s="33"/>
      <c r="C991" s="5" t="s">
        <v>4</v>
      </c>
      <c r="D991" s="9">
        <f>ROUND(C12*880,0)</f>
        <v>9240</v>
      </c>
      <c r="E991" s="6" t="s">
        <v>5</v>
      </c>
      <c r="F991" s="11">
        <f>ROUND(C12*476,0)</f>
        <v>4998</v>
      </c>
      <c r="G991" s="35">
        <v>50</v>
      </c>
      <c r="H991" s="17"/>
    </row>
    <row r="992" spans="2:8" s="1" customFormat="1" ht="13.5" customHeight="1" x14ac:dyDescent="0.15">
      <c r="B992" s="33"/>
      <c r="C992" s="7" t="s">
        <v>6</v>
      </c>
      <c r="D992" s="10">
        <v>7</v>
      </c>
      <c r="E992" s="8" t="s">
        <v>7</v>
      </c>
      <c r="F992" s="12">
        <f>ROUND(C12*480,0)</f>
        <v>5040</v>
      </c>
      <c r="G992" s="36"/>
      <c r="H992" s="17"/>
    </row>
    <row r="993" spans="2:8" s="1" customFormat="1" ht="14.25" thickBot="1" x14ac:dyDescent="0.2">
      <c r="B993" s="34"/>
      <c r="C993" s="18" t="s">
        <v>16</v>
      </c>
      <c r="D993" s="19" t="s">
        <v>33</v>
      </c>
      <c r="E993" s="20" t="s">
        <v>17</v>
      </c>
      <c r="F993" s="21" t="s">
        <v>36</v>
      </c>
      <c r="G993" s="22" t="s">
        <v>20</v>
      </c>
      <c r="H993" s="23" t="s">
        <v>349</v>
      </c>
    </row>
    <row r="994" spans="2:8" s="1" customFormat="1" x14ac:dyDescent="0.15">
      <c r="B994" s="13" t="s">
        <v>1</v>
      </c>
      <c r="C994" s="14" t="s">
        <v>0</v>
      </c>
      <c r="D994" s="29" t="s">
        <v>350</v>
      </c>
      <c r="E994" s="30"/>
      <c r="F994" s="31"/>
      <c r="G994" s="15" t="s">
        <v>57</v>
      </c>
      <c r="H994" s="16" t="s">
        <v>91</v>
      </c>
    </row>
    <row r="995" spans="2:8" s="1" customFormat="1" x14ac:dyDescent="0.15">
      <c r="B995" s="32">
        <v>300197</v>
      </c>
      <c r="C995" s="2" t="s">
        <v>2</v>
      </c>
      <c r="D995" s="9">
        <f>ROUND(C12*680,0)</f>
        <v>7140</v>
      </c>
      <c r="E995" s="3" t="s">
        <v>3</v>
      </c>
      <c r="F995" s="11">
        <f>ROUND(C12*880,0)</f>
        <v>9240</v>
      </c>
      <c r="G995" s="4" t="s">
        <v>8</v>
      </c>
      <c r="H995" s="17" t="s">
        <v>92</v>
      </c>
    </row>
    <row r="996" spans="2:8" s="1" customFormat="1" ht="13.5" customHeight="1" x14ac:dyDescent="0.15">
      <c r="B996" s="33"/>
      <c r="C996" s="5" t="s">
        <v>4</v>
      </c>
      <c r="D996" s="9">
        <f>ROUND(C12*880,0)</f>
        <v>9240</v>
      </c>
      <c r="E996" s="6" t="s">
        <v>5</v>
      </c>
      <c r="F996" s="11">
        <f>ROUND(C12*476,0)</f>
        <v>4998</v>
      </c>
      <c r="G996" s="35">
        <v>100</v>
      </c>
      <c r="H996" s="17"/>
    </row>
    <row r="997" spans="2:8" s="1" customFormat="1" ht="13.5" customHeight="1" x14ac:dyDescent="0.15">
      <c r="B997" s="33"/>
      <c r="C997" s="7" t="s">
        <v>6</v>
      </c>
      <c r="D997" s="10">
        <v>7</v>
      </c>
      <c r="E997" s="8" t="s">
        <v>7</v>
      </c>
      <c r="F997" s="12">
        <f>ROUND(C12*470,0)</f>
        <v>4935</v>
      </c>
      <c r="G997" s="36"/>
      <c r="H997" s="17"/>
    </row>
    <row r="998" spans="2:8" s="1" customFormat="1" ht="14.25" thickBot="1" x14ac:dyDescent="0.2">
      <c r="B998" s="34"/>
      <c r="C998" s="18" t="s">
        <v>16</v>
      </c>
      <c r="D998" s="19" t="s">
        <v>392</v>
      </c>
      <c r="E998" s="20" t="s">
        <v>17</v>
      </c>
      <c r="F998" s="21" t="s">
        <v>32</v>
      </c>
      <c r="G998" s="22" t="s">
        <v>20</v>
      </c>
      <c r="H998" s="23" t="s">
        <v>37</v>
      </c>
    </row>
    <row r="999" spans="2:8" s="1" customFormat="1" x14ac:dyDescent="0.15">
      <c r="B999" s="13" t="s">
        <v>1</v>
      </c>
      <c r="C999" s="14" t="s">
        <v>0</v>
      </c>
      <c r="D999" s="29" t="s">
        <v>351</v>
      </c>
      <c r="E999" s="30"/>
      <c r="F999" s="31"/>
      <c r="G999" s="15" t="s">
        <v>57</v>
      </c>
      <c r="H999" s="16" t="s">
        <v>116</v>
      </c>
    </row>
    <row r="1000" spans="2:8" s="1" customFormat="1" x14ac:dyDescent="0.15">
      <c r="B1000" s="32">
        <v>300198</v>
      </c>
      <c r="C1000" s="2" t="s">
        <v>2</v>
      </c>
      <c r="D1000" s="9">
        <f>ROUND(C12*680,0)</f>
        <v>7140</v>
      </c>
      <c r="E1000" s="3" t="s">
        <v>3</v>
      </c>
      <c r="F1000" s="11">
        <f>ROUND(C12*1936,0)</f>
        <v>20328</v>
      </c>
      <c r="G1000" s="4" t="s">
        <v>8</v>
      </c>
      <c r="H1000" s="17" t="s">
        <v>117</v>
      </c>
    </row>
    <row r="1001" spans="2:8" s="1" customFormat="1" ht="13.5" customHeight="1" x14ac:dyDescent="0.15">
      <c r="B1001" s="33"/>
      <c r="C1001" s="5" t="s">
        <v>4</v>
      </c>
      <c r="D1001" s="9">
        <f>ROUND(C12*880,0)</f>
        <v>9240</v>
      </c>
      <c r="E1001" s="6" t="s">
        <v>5</v>
      </c>
      <c r="F1001" s="11">
        <f>ROUND(C12*980,0)</f>
        <v>10290</v>
      </c>
      <c r="G1001" s="35">
        <v>100</v>
      </c>
      <c r="H1001" s="17"/>
    </row>
    <row r="1002" spans="2:8" s="1" customFormat="1" ht="13.5" customHeight="1" x14ac:dyDescent="0.15">
      <c r="B1002" s="33"/>
      <c r="C1002" s="7" t="s">
        <v>6</v>
      </c>
      <c r="D1002" s="10">
        <v>4</v>
      </c>
      <c r="E1002" s="8" t="s">
        <v>7</v>
      </c>
      <c r="F1002" s="12">
        <f>ROUND(C12*460,0)</f>
        <v>4830</v>
      </c>
      <c r="G1002" s="36"/>
      <c r="H1002" s="17"/>
    </row>
    <row r="1003" spans="2:8" s="1" customFormat="1" ht="14.25" thickBot="1" x14ac:dyDescent="0.2">
      <c r="B1003" s="34"/>
      <c r="C1003" s="18" t="s">
        <v>16</v>
      </c>
      <c r="D1003" s="19" t="s">
        <v>49</v>
      </c>
      <c r="E1003" s="20" t="s">
        <v>17</v>
      </c>
      <c r="F1003" s="21" t="s">
        <v>392</v>
      </c>
      <c r="G1003" s="22" t="s">
        <v>20</v>
      </c>
      <c r="H1003" s="23" t="s">
        <v>37</v>
      </c>
    </row>
    <row r="1004" spans="2:8" s="1" customFormat="1" x14ac:dyDescent="0.15">
      <c r="B1004" s="13" t="s">
        <v>1</v>
      </c>
      <c r="C1004" s="14" t="s">
        <v>0</v>
      </c>
      <c r="D1004" s="29" t="s">
        <v>352</v>
      </c>
      <c r="E1004" s="30"/>
      <c r="F1004" s="31"/>
      <c r="G1004" s="15" t="s">
        <v>57</v>
      </c>
      <c r="H1004" s="16" t="s">
        <v>35</v>
      </c>
    </row>
    <row r="1005" spans="2:8" s="1" customFormat="1" x14ac:dyDescent="0.15">
      <c r="B1005" s="32">
        <v>300199</v>
      </c>
      <c r="C1005" s="2" t="s">
        <v>2</v>
      </c>
      <c r="D1005" s="9">
        <f>ROUND(C12*680,0)</f>
        <v>7140</v>
      </c>
      <c r="E1005" s="3" t="s">
        <v>3</v>
      </c>
      <c r="F1005" s="11">
        <f>ROUND(C12*880,0)</f>
        <v>9240</v>
      </c>
      <c r="G1005" s="4" t="s">
        <v>8</v>
      </c>
      <c r="H1005" s="17" t="s">
        <v>23</v>
      </c>
    </row>
    <row r="1006" spans="2:8" s="1" customFormat="1" ht="13.5" customHeight="1" x14ac:dyDescent="0.15">
      <c r="B1006" s="33"/>
      <c r="C1006" s="5" t="s">
        <v>4</v>
      </c>
      <c r="D1006" s="9">
        <f>ROUND(C12*880,0)</f>
        <v>9240</v>
      </c>
      <c r="E1006" s="6" t="s">
        <v>5</v>
      </c>
      <c r="F1006" s="11">
        <f>ROUND(C12*476,0)</f>
        <v>4998</v>
      </c>
      <c r="G1006" s="35">
        <v>100</v>
      </c>
      <c r="H1006" s="17"/>
    </row>
    <row r="1007" spans="2:8" s="1" customFormat="1" ht="13.5" customHeight="1" x14ac:dyDescent="0.15">
      <c r="B1007" s="33"/>
      <c r="C1007" s="7" t="s">
        <v>6</v>
      </c>
      <c r="D1007" s="10">
        <v>7</v>
      </c>
      <c r="E1007" s="8" t="s">
        <v>7</v>
      </c>
      <c r="F1007" s="12">
        <f>ROUND(C12*500,0)</f>
        <v>5250</v>
      </c>
      <c r="G1007" s="36"/>
      <c r="H1007" s="17"/>
    </row>
    <row r="1008" spans="2:8" s="1" customFormat="1" ht="14.25" thickBot="1" x14ac:dyDescent="0.2">
      <c r="B1008" s="34"/>
      <c r="C1008" s="18" t="s">
        <v>16</v>
      </c>
      <c r="D1008" s="19" t="s">
        <v>49</v>
      </c>
      <c r="E1008" s="20" t="s">
        <v>17</v>
      </c>
      <c r="F1008" s="21" t="s">
        <v>100</v>
      </c>
      <c r="G1008" s="22" t="s">
        <v>20</v>
      </c>
      <c r="H1008" s="23" t="s">
        <v>37</v>
      </c>
    </row>
    <row r="1009" spans="2:8" s="1" customFormat="1" x14ac:dyDescent="0.15">
      <c r="B1009" s="13" t="s">
        <v>1</v>
      </c>
      <c r="C1009" s="14" t="s">
        <v>0</v>
      </c>
      <c r="D1009" s="29" t="s">
        <v>353</v>
      </c>
      <c r="E1009" s="30"/>
      <c r="F1009" s="31"/>
      <c r="G1009" s="15" t="s">
        <v>57</v>
      </c>
      <c r="H1009" s="16" t="s">
        <v>41</v>
      </c>
    </row>
    <row r="1010" spans="2:8" s="1" customFormat="1" x14ac:dyDescent="0.15">
      <c r="B1010" s="32">
        <v>300200</v>
      </c>
      <c r="C1010" s="2" t="s">
        <v>2</v>
      </c>
      <c r="D1010" s="9">
        <f>ROUND(C12*680,0)</f>
        <v>7140</v>
      </c>
      <c r="E1010" s="3" t="s">
        <v>3</v>
      </c>
      <c r="F1010" s="11">
        <f>ROUND(C12*1936,0)</f>
        <v>20328</v>
      </c>
      <c r="G1010" s="4" t="s">
        <v>8</v>
      </c>
      <c r="H1010" s="17" t="s">
        <v>25</v>
      </c>
    </row>
    <row r="1011" spans="2:8" s="1" customFormat="1" ht="13.5" customHeight="1" x14ac:dyDescent="0.15">
      <c r="B1011" s="33"/>
      <c r="C1011" s="5" t="s">
        <v>4</v>
      </c>
      <c r="D1011" s="9">
        <f>ROUND(C12*880,0)</f>
        <v>9240</v>
      </c>
      <c r="E1011" s="6" t="s">
        <v>5</v>
      </c>
      <c r="F1011" s="11">
        <f>ROUND(C12*980,0)</f>
        <v>10290</v>
      </c>
      <c r="G1011" s="35">
        <v>100</v>
      </c>
      <c r="H1011" s="17"/>
    </row>
    <row r="1012" spans="2:8" s="1" customFormat="1" ht="13.5" customHeight="1" x14ac:dyDescent="0.15">
      <c r="B1012" s="33"/>
      <c r="C1012" s="7" t="s">
        <v>6</v>
      </c>
      <c r="D1012" s="10">
        <v>4</v>
      </c>
      <c r="E1012" s="8" t="s">
        <v>7</v>
      </c>
      <c r="F1012" s="12">
        <f>ROUND(C12*380,0)</f>
        <v>3990</v>
      </c>
      <c r="G1012" s="36"/>
      <c r="H1012" s="17"/>
    </row>
    <row r="1013" spans="2:8" s="1" customFormat="1" ht="14.25" thickBot="1" x14ac:dyDescent="0.2">
      <c r="B1013" s="34"/>
      <c r="C1013" s="18" t="s">
        <v>16</v>
      </c>
      <c r="D1013" s="19" t="s">
        <v>45</v>
      </c>
      <c r="E1013" s="20" t="s">
        <v>17</v>
      </c>
      <c r="F1013" s="21" t="s">
        <v>293</v>
      </c>
      <c r="G1013" s="22" t="s">
        <v>20</v>
      </c>
      <c r="H1013" s="23" t="s">
        <v>37</v>
      </c>
    </row>
    <row r="1014" spans="2:8" s="1" customFormat="1" x14ac:dyDescent="0.15">
      <c r="B1014" s="13" t="s">
        <v>1</v>
      </c>
      <c r="C1014" s="14" t="s">
        <v>0</v>
      </c>
      <c r="D1014" s="29" t="s">
        <v>354</v>
      </c>
      <c r="E1014" s="30"/>
      <c r="F1014" s="31"/>
      <c r="G1014" s="15" t="s">
        <v>57</v>
      </c>
      <c r="H1014" s="16" t="s">
        <v>131</v>
      </c>
    </row>
    <row r="1015" spans="2:8" s="1" customFormat="1" x14ac:dyDescent="0.15">
      <c r="B1015" s="32">
        <v>300201</v>
      </c>
      <c r="C1015" s="2" t="s">
        <v>2</v>
      </c>
      <c r="D1015" s="9">
        <f>ROUND(C12*680,0)</f>
        <v>7140</v>
      </c>
      <c r="E1015" s="3" t="s">
        <v>3</v>
      </c>
      <c r="F1015" s="11">
        <f>ROUND(C12*1936,0)</f>
        <v>20328</v>
      </c>
      <c r="G1015" s="4" t="s">
        <v>8</v>
      </c>
      <c r="H1015" s="17" t="s">
        <v>132</v>
      </c>
    </row>
    <row r="1016" spans="2:8" s="1" customFormat="1" ht="13.5" customHeight="1" x14ac:dyDescent="0.15">
      <c r="B1016" s="33"/>
      <c r="C1016" s="5" t="s">
        <v>4</v>
      </c>
      <c r="D1016" s="9">
        <f>ROUND(C12*880,0)</f>
        <v>9240</v>
      </c>
      <c r="E1016" s="6" t="s">
        <v>5</v>
      </c>
      <c r="F1016" s="11">
        <f>ROUND(C12*980,0)</f>
        <v>10290</v>
      </c>
      <c r="G1016" s="35">
        <v>100</v>
      </c>
      <c r="H1016" s="17"/>
    </row>
    <row r="1017" spans="2:8" s="1" customFormat="1" ht="13.5" customHeight="1" x14ac:dyDescent="0.15">
      <c r="B1017" s="33"/>
      <c r="C1017" s="7" t="s">
        <v>6</v>
      </c>
      <c r="D1017" s="10">
        <v>4</v>
      </c>
      <c r="E1017" s="8" t="s">
        <v>7</v>
      </c>
      <c r="F1017" s="12">
        <f>ROUND(C12*380,0)</f>
        <v>3990</v>
      </c>
      <c r="G1017" s="36"/>
      <c r="H1017" s="17"/>
    </row>
    <row r="1018" spans="2:8" s="1" customFormat="1" ht="14.25" thickBot="1" x14ac:dyDescent="0.2">
      <c r="B1018" s="34"/>
      <c r="C1018" s="18" t="s">
        <v>16</v>
      </c>
      <c r="D1018" s="19" t="s">
        <v>294</v>
      </c>
      <c r="E1018" s="20" t="s">
        <v>17</v>
      </c>
      <c r="F1018" s="21" t="s">
        <v>51</v>
      </c>
      <c r="G1018" s="22" t="s">
        <v>20</v>
      </c>
      <c r="H1018" s="23" t="s">
        <v>37</v>
      </c>
    </row>
    <row r="1019" spans="2:8" s="1" customFormat="1" x14ac:dyDescent="0.15">
      <c r="B1019" s="13" t="s">
        <v>1</v>
      </c>
      <c r="C1019" s="14" t="s">
        <v>0</v>
      </c>
      <c r="D1019" s="29" t="s">
        <v>356</v>
      </c>
      <c r="E1019" s="30"/>
      <c r="F1019" s="31"/>
      <c r="G1019" s="15" t="s">
        <v>57</v>
      </c>
      <c r="H1019" s="16" t="s">
        <v>91</v>
      </c>
    </row>
    <row r="1020" spans="2:8" s="1" customFormat="1" x14ac:dyDescent="0.15">
      <c r="B1020" s="32">
        <v>300202</v>
      </c>
      <c r="C1020" s="2" t="s">
        <v>2</v>
      </c>
      <c r="D1020" s="9">
        <f>ROUND(C12*680,0)</f>
        <v>7140</v>
      </c>
      <c r="E1020" s="3" t="s">
        <v>3</v>
      </c>
      <c r="F1020" s="11">
        <f>ROUND(C12*1936,0)</f>
        <v>20328</v>
      </c>
      <c r="G1020" s="4" t="s">
        <v>8</v>
      </c>
      <c r="H1020" s="17" t="s">
        <v>92</v>
      </c>
    </row>
    <row r="1021" spans="2:8" s="1" customFormat="1" ht="13.5" customHeight="1" x14ac:dyDescent="0.15">
      <c r="B1021" s="33"/>
      <c r="C1021" s="5" t="s">
        <v>4</v>
      </c>
      <c r="D1021" s="9">
        <f>ROUND(C12*880,0)</f>
        <v>9240</v>
      </c>
      <c r="E1021" s="6" t="s">
        <v>5</v>
      </c>
      <c r="F1021" s="11">
        <f>ROUND(C12*980,0)</f>
        <v>10290</v>
      </c>
      <c r="G1021" s="35">
        <v>100</v>
      </c>
      <c r="H1021" s="17"/>
    </row>
    <row r="1022" spans="2:8" s="1" customFormat="1" ht="13.5" customHeight="1" x14ac:dyDescent="0.15">
      <c r="B1022" s="33"/>
      <c r="C1022" s="7" t="s">
        <v>6</v>
      </c>
      <c r="D1022" s="10">
        <v>4</v>
      </c>
      <c r="E1022" s="8" t="s">
        <v>7</v>
      </c>
      <c r="F1022" s="12">
        <f>ROUND(C12*500,0)</f>
        <v>5250</v>
      </c>
      <c r="G1022" s="36"/>
      <c r="H1022" s="17"/>
    </row>
    <row r="1023" spans="2:8" s="1" customFormat="1" ht="14.25" thickBot="1" x14ac:dyDescent="0.2">
      <c r="B1023" s="34"/>
      <c r="C1023" s="18" t="s">
        <v>16</v>
      </c>
      <c r="D1023" s="19" t="s">
        <v>71</v>
      </c>
      <c r="E1023" s="20" t="s">
        <v>17</v>
      </c>
      <c r="F1023" s="21" t="s">
        <v>51</v>
      </c>
      <c r="G1023" s="22" t="s">
        <v>20</v>
      </c>
      <c r="H1023" s="23" t="s">
        <v>37</v>
      </c>
    </row>
    <row r="1024" spans="2:8" s="1" customFormat="1" x14ac:dyDescent="0.15">
      <c r="B1024" s="13" t="s">
        <v>1</v>
      </c>
      <c r="C1024" s="14" t="s">
        <v>0</v>
      </c>
      <c r="D1024" s="29" t="s">
        <v>357</v>
      </c>
      <c r="E1024" s="30"/>
      <c r="F1024" s="31"/>
      <c r="G1024" s="15" t="s">
        <v>57</v>
      </c>
      <c r="H1024" s="16" t="s">
        <v>167</v>
      </c>
    </row>
    <row r="1025" spans="2:8" s="1" customFormat="1" x14ac:dyDescent="0.15">
      <c r="B1025" s="32">
        <v>300203</v>
      </c>
      <c r="C1025" s="2" t="s">
        <v>2</v>
      </c>
      <c r="D1025" s="9">
        <f>ROUND(C12*680,0)</f>
        <v>7140</v>
      </c>
      <c r="E1025" s="3" t="s">
        <v>3</v>
      </c>
      <c r="F1025" s="11">
        <f>ROUND(C12*880,0)</f>
        <v>9240</v>
      </c>
      <c r="G1025" s="4" t="s">
        <v>8</v>
      </c>
      <c r="H1025" s="17" t="s">
        <v>168</v>
      </c>
    </row>
    <row r="1026" spans="2:8" s="1" customFormat="1" ht="13.5" customHeight="1" x14ac:dyDescent="0.15">
      <c r="B1026" s="33"/>
      <c r="C1026" s="5" t="s">
        <v>4</v>
      </c>
      <c r="D1026" s="9">
        <f>ROUND(C12*880,0)</f>
        <v>9240</v>
      </c>
      <c r="E1026" s="6" t="s">
        <v>5</v>
      </c>
      <c r="F1026" s="11">
        <f>ROUND(C12*476,0)</f>
        <v>4998</v>
      </c>
      <c r="G1026" s="35">
        <v>50</v>
      </c>
      <c r="H1026" s="17"/>
    </row>
    <row r="1027" spans="2:8" s="1" customFormat="1" ht="13.5" customHeight="1" x14ac:dyDescent="0.15">
      <c r="B1027" s="33"/>
      <c r="C1027" s="7" t="s">
        <v>6</v>
      </c>
      <c r="D1027" s="10">
        <v>7</v>
      </c>
      <c r="E1027" s="8" t="s">
        <v>7</v>
      </c>
      <c r="F1027" s="12">
        <f>ROUND(C12*380,0)</f>
        <v>3990</v>
      </c>
      <c r="G1027" s="36"/>
      <c r="H1027" s="17"/>
    </row>
    <row r="1028" spans="2:8" s="1" customFormat="1" ht="14.25" thickBot="1" x14ac:dyDescent="0.2">
      <c r="B1028" s="34"/>
      <c r="C1028" s="18" t="s">
        <v>16</v>
      </c>
      <c r="D1028" s="19" t="s">
        <v>82</v>
      </c>
      <c r="E1028" s="20" t="s">
        <v>17</v>
      </c>
      <c r="F1028" s="21" t="s">
        <v>54</v>
      </c>
      <c r="G1028" s="22" t="s">
        <v>20</v>
      </c>
      <c r="H1028" s="23" t="s">
        <v>358</v>
      </c>
    </row>
    <row r="1029" spans="2:8" s="1" customFormat="1" x14ac:dyDescent="0.15">
      <c r="B1029" s="13" t="s">
        <v>1</v>
      </c>
      <c r="C1029" s="14" t="s">
        <v>0</v>
      </c>
      <c r="D1029" s="29" t="s">
        <v>359</v>
      </c>
      <c r="E1029" s="30"/>
      <c r="F1029" s="31"/>
      <c r="G1029" s="15" t="s">
        <v>57</v>
      </c>
      <c r="H1029" s="16" t="s">
        <v>80</v>
      </c>
    </row>
    <row r="1030" spans="2:8" s="1" customFormat="1" x14ac:dyDescent="0.15">
      <c r="B1030" s="32">
        <v>300204</v>
      </c>
      <c r="C1030" s="2" t="s">
        <v>2</v>
      </c>
      <c r="D1030" s="9">
        <f>ROUND(C12*680,0)</f>
        <v>7140</v>
      </c>
      <c r="E1030" s="3" t="s">
        <v>3</v>
      </c>
      <c r="F1030" s="11">
        <f>ROUND(C12*880,0)</f>
        <v>9240</v>
      </c>
      <c r="G1030" s="4" t="s">
        <v>8</v>
      </c>
      <c r="H1030" s="17" t="s">
        <v>81</v>
      </c>
    </row>
    <row r="1031" spans="2:8" s="1" customFormat="1" ht="13.5" customHeight="1" x14ac:dyDescent="0.15">
      <c r="B1031" s="33"/>
      <c r="C1031" s="5" t="s">
        <v>4</v>
      </c>
      <c r="D1031" s="9">
        <f>ROUND(C12*880,0)</f>
        <v>9240</v>
      </c>
      <c r="E1031" s="6" t="s">
        <v>5</v>
      </c>
      <c r="F1031" s="11">
        <f>ROUND(C12*476,0)</f>
        <v>4998</v>
      </c>
      <c r="G1031" s="35">
        <v>100</v>
      </c>
      <c r="H1031" s="17"/>
    </row>
    <row r="1032" spans="2:8" s="1" customFormat="1" ht="13.5" customHeight="1" x14ac:dyDescent="0.15">
      <c r="B1032" s="33"/>
      <c r="C1032" s="7" t="s">
        <v>6</v>
      </c>
      <c r="D1032" s="10">
        <v>7</v>
      </c>
      <c r="E1032" s="8" t="s">
        <v>7</v>
      </c>
      <c r="F1032" s="12">
        <f>ROUND(C12*380,0)</f>
        <v>3990</v>
      </c>
      <c r="G1032" s="36"/>
      <c r="H1032" s="17"/>
    </row>
    <row r="1033" spans="2:8" s="1" customFormat="1" ht="14.25" thickBot="1" x14ac:dyDescent="0.2">
      <c r="B1033" s="34"/>
      <c r="C1033" s="18" t="s">
        <v>16</v>
      </c>
      <c r="D1033" s="19" t="s">
        <v>48</v>
      </c>
      <c r="E1033" s="20" t="s">
        <v>17</v>
      </c>
      <c r="F1033" s="21" t="s">
        <v>49</v>
      </c>
      <c r="G1033" s="22" t="s">
        <v>20</v>
      </c>
      <c r="H1033" s="23" t="s">
        <v>37</v>
      </c>
    </row>
    <row r="1034" spans="2:8" s="1" customFormat="1" x14ac:dyDescent="0.15">
      <c r="B1034" s="13" t="s">
        <v>1</v>
      </c>
      <c r="C1034" s="14" t="s">
        <v>0</v>
      </c>
      <c r="D1034" s="29" t="s">
        <v>360</v>
      </c>
      <c r="E1034" s="30"/>
      <c r="F1034" s="31"/>
      <c r="G1034" s="15" t="s">
        <v>57</v>
      </c>
      <c r="H1034" s="16" t="s">
        <v>341</v>
      </c>
    </row>
    <row r="1035" spans="2:8" s="1" customFormat="1" x14ac:dyDescent="0.15">
      <c r="B1035" s="32">
        <v>300205</v>
      </c>
      <c r="C1035" s="2" t="s">
        <v>2</v>
      </c>
      <c r="D1035" s="9">
        <f>ROUND(C12*680,0)</f>
        <v>7140</v>
      </c>
      <c r="E1035" s="3" t="s">
        <v>3</v>
      </c>
      <c r="F1035" s="11">
        <f>ROUND(C12*880,0)</f>
        <v>9240</v>
      </c>
      <c r="G1035" s="4" t="s">
        <v>8</v>
      </c>
      <c r="H1035" s="17" t="s">
        <v>144</v>
      </c>
    </row>
    <row r="1036" spans="2:8" s="1" customFormat="1" ht="13.5" customHeight="1" x14ac:dyDescent="0.15">
      <c r="B1036" s="33"/>
      <c r="C1036" s="5" t="s">
        <v>4</v>
      </c>
      <c r="D1036" s="9">
        <f>ROUND(C12*880,0)</f>
        <v>9240</v>
      </c>
      <c r="E1036" s="6" t="s">
        <v>5</v>
      </c>
      <c r="F1036" s="11">
        <f>ROUND(C12*476,0)</f>
        <v>4998</v>
      </c>
      <c r="G1036" s="35">
        <v>50</v>
      </c>
      <c r="H1036" s="17"/>
    </row>
    <row r="1037" spans="2:8" s="1" customFormat="1" ht="13.5" customHeight="1" x14ac:dyDescent="0.15">
      <c r="B1037" s="33"/>
      <c r="C1037" s="7" t="s">
        <v>6</v>
      </c>
      <c r="D1037" s="10">
        <v>7</v>
      </c>
      <c r="E1037" s="8" t="s">
        <v>7</v>
      </c>
      <c r="F1037" s="12">
        <f>ROUND(C12*380,0)</f>
        <v>3990</v>
      </c>
      <c r="G1037" s="36"/>
      <c r="H1037" s="17"/>
    </row>
    <row r="1038" spans="2:8" s="1" customFormat="1" ht="14.25" thickBot="1" x14ac:dyDescent="0.2">
      <c r="B1038" s="34"/>
      <c r="C1038" s="18" t="s">
        <v>16</v>
      </c>
      <c r="D1038" s="19" t="s">
        <v>32</v>
      </c>
      <c r="E1038" s="20" t="s">
        <v>17</v>
      </c>
      <c r="F1038" s="21" t="s">
        <v>211</v>
      </c>
      <c r="G1038" s="22" t="s">
        <v>20</v>
      </c>
      <c r="H1038" s="23" t="s">
        <v>262</v>
      </c>
    </row>
    <row r="1039" spans="2:8" s="1" customFormat="1" x14ac:dyDescent="0.15">
      <c r="B1039" s="13" t="s">
        <v>1</v>
      </c>
      <c r="C1039" s="14" t="s">
        <v>0</v>
      </c>
      <c r="D1039" s="29" t="s">
        <v>361</v>
      </c>
      <c r="E1039" s="30"/>
      <c r="F1039" s="31"/>
      <c r="G1039" s="15" t="s">
        <v>57</v>
      </c>
      <c r="H1039" s="16" t="s">
        <v>41</v>
      </c>
    </row>
    <row r="1040" spans="2:8" s="1" customFormat="1" x14ac:dyDescent="0.15">
      <c r="B1040" s="32">
        <v>300206</v>
      </c>
      <c r="C1040" s="2" t="s">
        <v>2</v>
      </c>
      <c r="D1040" s="9">
        <f>ROUND(C12*680,0)</f>
        <v>7140</v>
      </c>
      <c r="E1040" s="3" t="s">
        <v>3</v>
      </c>
      <c r="F1040" s="11">
        <f>ROUND(C12*880,0)</f>
        <v>9240</v>
      </c>
      <c r="G1040" s="4" t="s">
        <v>8</v>
      </c>
      <c r="H1040" s="17" t="s">
        <v>25</v>
      </c>
    </row>
    <row r="1041" spans="2:8" s="1" customFormat="1" ht="13.5" customHeight="1" x14ac:dyDescent="0.15">
      <c r="B1041" s="33"/>
      <c r="C1041" s="5" t="s">
        <v>4</v>
      </c>
      <c r="D1041" s="9">
        <f>ROUND(C12*880,0)</f>
        <v>9240</v>
      </c>
      <c r="E1041" s="6" t="s">
        <v>5</v>
      </c>
      <c r="F1041" s="11">
        <f>ROUND(C12*476,0)</f>
        <v>4998</v>
      </c>
      <c r="G1041" s="35">
        <v>100</v>
      </c>
      <c r="H1041" s="17"/>
    </row>
    <row r="1042" spans="2:8" s="1" customFormat="1" ht="13.5" customHeight="1" x14ac:dyDescent="0.15">
      <c r="B1042" s="33"/>
      <c r="C1042" s="7" t="s">
        <v>6</v>
      </c>
      <c r="D1042" s="10">
        <v>7</v>
      </c>
      <c r="E1042" s="8" t="s">
        <v>7</v>
      </c>
      <c r="F1042" s="12">
        <f>ROUND(C12*380,0)</f>
        <v>3990</v>
      </c>
      <c r="G1042" s="36"/>
      <c r="H1042" s="17"/>
    </row>
    <row r="1043" spans="2:8" s="1" customFormat="1" ht="14.25" thickBot="1" x14ac:dyDescent="0.2">
      <c r="B1043" s="34"/>
      <c r="C1043" s="18" t="s">
        <v>16</v>
      </c>
      <c r="D1043" s="19" t="s">
        <v>392</v>
      </c>
      <c r="E1043" s="20" t="s">
        <v>17</v>
      </c>
      <c r="F1043" s="21" t="s">
        <v>71</v>
      </c>
      <c r="G1043" s="22" t="s">
        <v>20</v>
      </c>
      <c r="H1043" s="23" t="s">
        <v>37</v>
      </c>
    </row>
    <row r="1044" spans="2:8" s="1" customFormat="1" x14ac:dyDescent="0.15">
      <c r="B1044" s="13" t="s">
        <v>1</v>
      </c>
      <c r="C1044" s="14" t="s">
        <v>0</v>
      </c>
      <c r="D1044" s="29" t="s">
        <v>362</v>
      </c>
      <c r="E1044" s="30"/>
      <c r="F1044" s="31"/>
      <c r="G1044" s="15" t="s">
        <v>57</v>
      </c>
      <c r="H1044" s="16" t="s">
        <v>47</v>
      </c>
    </row>
    <row r="1045" spans="2:8" s="1" customFormat="1" x14ac:dyDescent="0.15">
      <c r="B1045" s="32">
        <v>300207</v>
      </c>
      <c r="C1045" s="2" t="s">
        <v>2</v>
      </c>
      <c r="D1045" s="9">
        <f>ROUND(C12*680,0)</f>
        <v>7140</v>
      </c>
      <c r="E1045" s="3" t="s">
        <v>3</v>
      </c>
      <c r="F1045" s="11">
        <f>ROUND(C12*880,0)</f>
        <v>9240</v>
      </c>
      <c r="G1045" s="4" t="s">
        <v>8</v>
      </c>
      <c r="H1045" s="17" t="s">
        <v>28</v>
      </c>
    </row>
    <row r="1046" spans="2:8" s="1" customFormat="1" ht="13.5" customHeight="1" x14ac:dyDescent="0.15">
      <c r="B1046" s="33"/>
      <c r="C1046" s="5" t="s">
        <v>4</v>
      </c>
      <c r="D1046" s="9">
        <f>ROUND(C12*880,0)</f>
        <v>9240</v>
      </c>
      <c r="E1046" s="6" t="s">
        <v>5</v>
      </c>
      <c r="F1046" s="11">
        <f>ROUND(C12*476,0)</f>
        <v>4998</v>
      </c>
      <c r="G1046" s="35">
        <v>50</v>
      </c>
      <c r="H1046" s="17"/>
    </row>
    <row r="1047" spans="2:8" s="1" customFormat="1" ht="13.5" customHeight="1" x14ac:dyDescent="0.15">
      <c r="B1047" s="33"/>
      <c r="C1047" s="7" t="s">
        <v>6</v>
      </c>
      <c r="D1047" s="10">
        <v>7</v>
      </c>
      <c r="E1047" s="8" t="s">
        <v>7</v>
      </c>
      <c r="F1047" s="12">
        <f>ROUND(C12*380,0)</f>
        <v>3990</v>
      </c>
      <c r="G1047" s="36"/>
      <c r="H1047" s="17"/>
    </row>
    <row r="1048" spans="2:8" s="1" customFormat="1" ht="14.25" thickBot="1" x14ac:dyDescent="0.2">
      <c r="B1048" s="34"/>
      <c r="C1048" s="18" t="s">
        <v>16</v>
      </c>
      <c r="D1048" s="19" t="s">
        <v>56</v>
      </c>
      <c r="E1048" s="20" t="s">
        <v>17</v>
      </c>
      <c r="F1048" s="21" t="s">
        <v>113</v>
      </c>
      <c r="G1048" s="22" t="s">
        <v>20</v>
      </c>
      <c r="H1048" s="23" t="s">
        <v>363</v>
      </c>
    </row>
    <row r="1049" spans="2:8" s="1" customFormat="1" x14ac:dyDescent="0.15">
      <c r="B1049" s="13" t="s">
        <v>1</v>
      </c>
      <c r="C1049" s="14" t="s">
        <v>0</v>
      </c>
      <c r="D1049" s="29" t="s">
        <v>364</v>
      </c>
      <c r="E1049" s="30"/>
      <c r="F1049" s="31"/>
      <c r="G1049" s="15" t="s">
        <v>57</v>
      </c>
      <c r="H1049" s="16" t="s">
        <v>35</v>
      </c>
    </row>
    <row r="1050" spans="2:8" s="1" customFormat="1" x14ac:dyDescent="0.15">
      <c r="B1050" s="32">
        <v>300208</v>
      </c>
      <c r="C1050" s="2" t="s">
        <v>2</v>
      </c>
      <c r="D1050" s="9">
        <f>ROUND(C12*680,0)</f>
        <v>7140</v>
      </c>
      <c r="E1050" s="3" t="s">
        <v>3</v>
      </c>
      <c r="F1050" s="11">
        <f>ROUND(C12*1936,0)</f>
        <v>20328</v>
      </c>
      <c r="G1050" s="4" t="s">
        <v>8</v>
      </c>
      <c r="H1050" s="17" t="s">
        <v>23</v>
      </c>
    </row>
    <row r="1051" spans="2:8" s="1" customFormat="1" ht="13.5" customHeight="1" x14ac:dyDescent="0.15">
      <c r="B1051" s="33"/>
      <c r="C1051" s="5" t="s">
        <v>4</v>
      </c>
      <c r="D1051" s="9">
        <f>ROUND(C12*880,0)</f>
        <v>9240</v>
      </c>
      <c r="E1051" s="6" t="s">
        <v>5</v>
      </c>
      <c r="F1051" s="11">
        <f>ROUND(C12*980,0)</f>
        <v>10290</v>
      </c>
      <c r="G1051" s="35">
        <v>100</v>
      </c>
      <c r="H1051" s="17"/>
    </row>
    <row r="1052" spans="2:8" s="1" customFormat="1" ht="13.5" customHeight="1" x14ac:dyDescent="0.15">
      <c r="B1052" s="33"/>
      <c r="C1052" s="7" t="s">
        <v>6</v>
      </c>
      <c r="D1052" s="10">
        <v>4</v>
      </c>
      <c r="E1052" s="8" t="s">
        <v>7</v>
      </c>
      <c r="F1052" s="12">
        <f>ROUND(C12*380,0)</f>
        <v>3990</v>
      </c>
      <c r="G1052" s="36"/>
      <c r="H1052" s="17"/>
    </row>
    <row r="1053" spans="2:8" s="1" customFormat="1" ht="14.25" thickBot="1" x14ac:dyDescent="0.2">
      <c r="B1053" s="34"/>
      <c r="C1053" s="18" t="s">
        <v>16</v>
      </c>
      <c r="D1053" s="19" t="s">
        <v>405</v>
      </c>
      <c r="E1053" s="20" t="s">
        <v>17</v>
      </c>
      <c r="F1053" s="21" t="s">
        <v>56</v>
      </c>
      <c r="G1053" s="22" t="s">
        <v>20</v>
      </c>
      <c r="H1053" s="23" t="s">
        <v>37</v>
      </c>
    </row>
    <row r="1054" spans="2:8" s="1" customFormat="1" x14ac:dyDescent="0.15">
      <c r="B1054" s="13" t="s">
        <v>1</v>
      </c>
      <c r="C1054" s="14" t="s">
        <v>0</v>
      </c>
      <c r="D1054" s="29" t="s">
        <v>365</v>
      </c>
      <c r="E1054" s="30"/>
      <c r="F1054" s="31"/>
      <c r="G1054" s="15" t="s">
        <v>57</v>
      </c>
      <c r="H1054" s="16" t="s">
        <v>128</v>
      </c>
    </row>
    <row r="1055" spans="2:8" s="1" customFormat="1" x14ac:dyDescent="0.15">
      <c r="B1055" s="32">
        <v>300209</v>
      </c>
      <c r="C1055" s="2" t="s">
        <v>2</v>
      </c>
      <c r="D1055" s="9">
        <f>ROUND(C12*680,0)</f>
        <v>7140</v>
      </c>
      <c r="E1055" s="3" t="s">
        <v>3</v>
      </c>
      <c r="F1055" s="11">
        <f>ROUND(C12*880,0)</f>
        <v>9240</v>
      </c>
      <c r="G1055" s="4" t="s">
        <v>8</v>
      </c>
      <c r="H1055" s="17" t="s">
        <v>129</v>
      </c>
    </row>
    <row r="1056" spans="2:8" s="1" customFormat="1" ht="13.5" customHeight="1" x14ac:dyDescent="0.15">
      <c r="B1056" s="33"/>
      <c r="C1056" s="5" t="s">
        <v>4</v>
      </c>
      <c r="D1056" s="9">
        <f>ROUND(C12*880,0)</f>
        <v>9240</v>
      </c>
      <c r="E1056" s="6" t="s">
        <v>5</v>
      </c>
      <c r="F1056" s="11">
        <f>ROUND(C12*476,0)</f>
        <v>4998</v>
      </c>
      <c r="G1056" s="35">
        <v>100</v>
      </c>
      <c r="H1056" s="17"/>
    </row>
    <row r="1057" spans="2:8" s="1" customFormat="1" ht="13.5" customHeight="1" x14ac:dyDescent="0.15">
      <c r="B1057" s="33"/>
      <c r="C1057" s="7" t="s">
        <v>6</v>
      </c>
      <c r="D1057" s="10">
        <v>7</v>
      </c>
      <c r="E1057" s="8" t="s">
        <v>7</v>
      </c>
      <c r="F1057" s="12">
        <f>ROUND(C12*470,0)</f>
        <v>4935</v>
      </c>
      <c r="G1057" s="36"/>
      <c r="H1057" s="17"/>
    </row>
    <row r="1058" spans="2:8" s="1" customFormat="1" ht="14.25" thickBot="1" x14ac:dyDescent="0.2">
      <c r="B1058" s="34"/>
      <c r="C1058" s="18" t="s">
        <v>16</v>
      </c>
      <c r="D1058" s="19" t="s">
        <v>56</v>
      </c>
      <c r="E1058" s="20" t="s">
        <v>17</v>
      </c>
      <c r="F1058" s="21" t="s">
        <v>48</v>
      </c>
      <c r="G1058" s="22" t="s">
        <v>20</v>
      </c>
      <c r="H1058" s="23" t="s">
        <v>37</v>
      </c>
    </row>
    <row r="1059" spans="2:8" s="1" customFormat="1" x14ac:dyDescent="0.15">
      <c r="B1059" s="13" t="s">
        <v>1</v>
      </c>
      <c r="C1059" s="14" t="s">
        <v>0</v>
      </c>
      <c r="D1059" s="29" t="s">
        <v>366</v>
      </c>
      <c r="E1059" s="30"/>
      <c r="F1059" s="31"/>
      <c r="G1059" s="15" t="s">
        <v>57</v>
      </c>
      <c r="H1059" s="16" t="s">
        <v>77</v>
      </c>
    </row>
    <row r="1060" spans="2:8" s="1" customFormat="1" x14ac:dyDescent="0.15">
      <c r="B1060" s="32">
        <v>300210</v>
      </c>
      <c r="C1060" s="2" t="s">
        <v>2</v>
      </c>
      <c r="D1060" s="9">
        <f>ROUND(C12*680,0)</f>
        <v>7140</v>
      </c>
      <c r="E1060" s="3" t="s">
        <v>3</v>
      </c>
      <c r="F1060" s="11">
        <f>ROUND(C12*1936,0)</f>
        <v>20328</v>
      </c>
      <c r="G1060" s="4" t="s">
        <v>8</v>
      </c>
      <c r="H1060" s="17" t="s">
        <v>78</v>
      </c>
    </row>
    <row r="1061" spans="2:8" s="1" customFormat="1" ht="13.5" customHeight="1" x14ac:dyDescent="0.15">
      <c r="B1061" s="33"/>
      <c r="C1061" s="5" t="s">
        <v>4</v>
      </c>
      <c r="D1061" s="9">
        <f>ROUND(C12*880,0)</f>
        <v>9240</v>
      </c>
      <c r="E1061" s="6" t="s">
        <v>5</v>
      </c>
      <c r="F1061" s="11">
        <f>ROUND(C12*980,0)</f>
        <v>10290</v>
      </c>
      <c r="G1061" s="35">
        <v>100</v>
      </c>
      <c r="H1061" s="17"/>
    </row>
    <row r="1062" spans="2:8" s="1" customFormat="1" ht="13.5" customHeight="1" x14ac:dyDescent="0.15">
      <c r="B1062" s="33"/>
      <c r="C1062" s="7" t="s">
        <v>6</v>
      </c>
      <c r="D1062" s="10">
        <v>4</v>
      </c>
      <c r="E1062" s="8" t="s">
        <v>7</v>
      </c>
      <c r="F1062" s="12">
        <f>ROUND(C12*500,0)</f>
        <v>5250</v>
      </c>
      <c r="G1062" s="36"/>
      <c r="H1062" s="17"/>
    </row>
    <row r="1063" spans="2:8" s="1" customFormat="1" ht="14.25" thickBot="1" x14ac:dyDescent="0.2">
      <c r="B1063" s="34"/>
      <c r="C1063" s="18" t="s">
        <v>16</v>
      </c>
      <c r="D1063" s="19" t="s">
        <v>51</v>
      </c>
      <c r="E1063" s="20" t="s">
        <v>17</v>
      </c>
      <c r="F1063" s="21" t="s">
        <v>71</v>
      </c>
      <c r="G1063" s="22" t="s">
        <v>20</v>
      </c>
      <c r="H1063" s="23" t="s">
        <v>37</v>
      </c>
    </row>
    <row r="1064" spans="2:8" s="1" customFormat="1" x14ac:dyDescent="0.15">
      <c r="B1064" s="13" t="s">
        <v>1</v>
      </c>
      <c r="C1064" s="14" t="s">
        <v>0</v>
      </c>
      <c r="D1064" s="29" t="s">
        <v>367</v>
      </c>
      <c r="E1064" s="30"/>
      <c r="F1064" s="31"/>
      <c r="G1064" s="15" t="s">
        <v>57</v>
      </c>
      <c r="H1064" s="16" t="s">
        <v>41</v>
      </c>
    </row>
    <row r="1065" spans="2:8" s="1" customFormat="1" x14ac:dyDescent="0.15">
      <c r="B1065" s="32">
        <v>300211</v>
      </c>
      <c r="C1065" s="2" t="s">
        <v>2</v>
      </c>
      <c r="D1065" s="9">
        <f>ROUND(C12*680,0)</f>
        <v>7140</v>
      </c>
      <c r="E1065" s="3" t="s">
        <v>3</v>
      </c>
      <c r="F1065" s="11">
        <f>ROUND(C12*880,0)</f>
        <v>9240</v>
      </c>
      <c r="G1065" s="4" t="s">
        <v>8</v>
      </c>
      <c r="H1065" s="17" t="s">
        <v>25</v>
      </c>
    </row>
    <row r="1066" spans="2:8" s="1" customFormat="1" ht="13.5" customHeight="1" x14ac:dyDescent="0.15">
      <c r="B1066" s="33"/>
      <c r="C1066" s="5" t="s">
        <v>4</v>
      </c>
      <c r="D1066" s="9">
        <f>ROUND(C12*880,0)</f>
        <v>9240</v>
      </c>
      <c r="E1066" s="6" t="s">
        <v>5</v>
      </c>
      <c r="F1066" s="11">
        <f>ROUND(C12*476,0)</f>
        <v>4998</v>
      </c>
      <c r="G1066" s="35">
        <v>100</v>
      </c>
      <c r="H1066" s="17"/>
    </row>
    <row r="1067" spans="2:8" s="1" customFormat="1" ht="13.5" customHeight="1" x14ac:dyDescent="0.15">
      <c r="B1067" s="33"/>
      <c r="C1067" s="7" t="s">
        <v>6</v>
      </c>
      <c r="D1067" s="10">
        <v>7</v>
      </c>
      <c r="E1067" s="8" t="s">
        <v>7</v>
      </c>
      <c r="F1067" s="12">
        <f>ROUND(C12*500,0)</f>
        <v>5250</v>
      </c>
      <c r="G1067" s="36"/>
      <c r="H1067" s="17"/>
    </row>
    <row r="1068" spans="2:8" s="1" customFormat="1" ht="14.25" thickBot="1" x14ac:dyDescent="0.2">
      <c r="B1068" s="34"/>
      <c r="C1068" s="18" t="s">
        <v>16</v>
      </c>
      <c r="D1068" s="19" t="s">
        <v>85</v>
      </c>
      <c r="E1068" s="20" t="s">
        <v>17</v>
      </c>
      <c r="F1068" s="21" t="s">
        <v>82</v>
      </c>
      <c r="G1068" s="22" t="s">
        <v>20</v>
      </c>
      <c r="H1068" s="23" t="s">
        <v>37</v>
      </c>
    </row>
    <row r="1069" spans="2:8" s="1" customFormat="1" x14ac:dyDescent="0.15">
      <c r="B1069" s="13" t="s">
        <v>1</v>
      </c>
      <c r="C1069" s="14" t="s">
        <v>0</v>
      </c>
      <c r="D1069" s="29" t="s">
        <v>368</v>
      </c>
      <c r="E1069" s="30"/>
      <c r="F1069" s="31"/>
      <c r="G1069" s="15" t="s">
        <v>57</v>
      </c>
      <c r="H1069" s="16" t="s">
        <v>146</v>
      </c>
    </row>
    <row r="1070" spans="2:8" s="1" customFormat="1" x14ac:dyDescent="0.15">
      <c r="B1070" s="32">
        <v>300212</v>
      </c>
      <c r="C1070" s="2" t="s">
        <v>2</v>
      </c>
      <c r="D1070" s="9">
        <f>ROUND(C12*680,0)</f>
        <v>7140</v>
      </c>
      <c r="E1070" s="3" t="s">
        <v>3</v>
      </c>
      <c r="F1070" s="11">
        <f>ROUND(C12*880,0)</f>
        <v>9240</v>
      </c>
      <c r="G1070" s="4" t="s">
        <v>8</v>
      </c>
      <c r="H1070" s="17" t="s">
        <v>147</v>
      </c>
    </row>
    <row r="1071" spans="2:8" s="1" customFormat="1" ht="13.5" customHeight="1" x14ac:dyDescent="0.15">
      <c r="B1071" s="33"/>
      <c r="C1071" s="5" t="s">
        <v>4</v>
      </c>
      <c r="D1071" s="9">
        <f>ROUND(C12*880,0)</f>
        <v>9240</v>
      </c>
      <c r="E1071" s="6" t="s">
        <v>5</v>
      </c>
      <c r="F1071" s="11">
        <f>ROUND(C12*476,0)</f>
        <v>4998</v>
      </c>
      <c r="G1071" s="35">
        <v>100</v>
      </c>
      <c r="H1071" s="17"/>
    </row>
    <row r="1072" spans="2:8" s="1" customFormat="1" ht="13.5" customHeight="1" x14ac:dyDescent="0.15">
      <c r="B1072" s="33"/>
      <c r="C1072" s="7" t="s">
        <v>6</v>
      </c>
      <c r="D1072" s="10">
        <v>7</v>
      </c>
      <c r="E1072" s="8" t="s">
        <v>7</v>
      </c>
      <c r="F1072" s="12">
        <f>ROUND(C12*469,0)</f>
        <v>4925</v>
      </c>
      <c r="G1072" s="36"/>
      <c r="H1072" s="17"/>
    </row>
    <row r="1073" spans="2:8" s="1" customFormat="1" ht="14.25" thickBot="1" x14ac:dyDescent="0.2">
      <c r="B1073" s="34"/>
      <c r="C1073" s="18" t="s">
        <v>16</v>
      </c>
      <c r="D1073" s="19" t="s">
        <v>56</v>
      </c>
      <c r="E1073" s="20" t="s">
        <v>17</v>
      </c>
      <c r="F1073" s="21" t="s">
        <v>113</v>
      </c>
      <c r="G1073" s="22" t="s">
        <v>20</v>
      </c>
      <c r="H1073" s="23" t="s">
        <v>37</v>
      </c>
    </row>
    <row r="1074" spans="2:8" s="1" customFormat="1" x14ac:dyDescent="0.15">
      <c r="B1074" s="13" t="s">
        <v>1</v>
      </c>
      <c r="C1074" s="14" t="s">
        <v>0</v>
      </c>
      <c r="D1074" s="29" t="s">
        <v>369</v>
      </c>
      <c r="E1074" s="30"/>
      <c r="F1074" s="31"/>
      <c r="G1074" s="15" t="s">
        <v>57</v>
      </c>
      <c r="H1074" s="16" t="s">
        <v>50</v>
      </c>
    </row>
    <row r="1075" spans="2:8" s="1" customFormat="1" x14ac:dyDescent="0.15">
      <c r="B1075" s="32">
        <v>300213</v>
      </c>
      <c r="C1075" s="2" t="s">
        <v>2</v>
      </c>
      <c r="D1075" s="9">
        <f>ROUND(C12*680,0)</f>
        <v>7140</v>
      </c>
      <c r="E1075" s="3" t="s">
        <v>3</v>
      </c>
      <c r="F1075" s="11">
        <f>ROUND(C12*1936,0)</f>
        <v>20328</v>
      </c>
      <c r="G1075" s="4" t="s">
        <v>8</v>
      </c>
      <c r="H1075" s="17" t="s">
        <v>29</v>
      </c>
    </row>
    <row r="1076" spans="2:8" s="1" customFormat="1" ht="13.5" customHeight="1" x14ac:dyDescent="0.15">
      <c r="B1076" s="33"/>
      <c r="C1076" s="5" t="s">
        <v>4</v>
      </c>
      <c r="D1076" s="9">
        <f>ROUND(C12*880,0)</f>
        <v>9240</v>
      </c>
      <c r="E1076" s="6" t="s">
        <v>5</v>
      </c>
      <c r="F1076" s="11">
        <f>ROUND(C12*980,0)</f>
        <v>10290</v>
      </c>
      <c r="G1076" s="35">
        <v>100</v>
      </c>
      <c r="H1076" s="17"/>
    </row>
    <row r="1077" spans="2:8" s="1" customFormat="1" ht="13.5" customHeight="1" x14ac:dyDescent="0.15">
      <c r="B1077" s="33"/>
      <c r="C1077" s="7" t="s">
        <v>6</v>
      </c>
      <c r="D1077" s="10">
        <v>4</v>
      </c>
      <c r="E1077" s="8" t="s">
        <v>7</v>
      </c>
      <c r="F1077" s="12">
        <f>ROUND(C12*408,0)</f>
        <v>4284</v>
      </c>
      <c r="G1077" s="36"/>
      <c r="H1077" s="17"/>
    </row>
    <row r="1078" spans="2:8" s="1" customFormat="1" ht="14.25" thickBot="1" x14ac:dyDescent="0.2">
      <c r="B1078" s="34"/>
      <c r="C1078" s="18" t="s">
        <v>16</v>
      </c>
      <c r="D1078" s="19" t="s">
        <v>93</v>
      </c>
      <c r="E1078" s="20" t="s">
        <v>17</v>
      </c>
      <c r="F1078" s="21" t="s">
        <v>113</v>
      </c>
      <c r="G1078" s="22" t="s">
        <v>20</v>
      </c>
      <c r="H1078" s="23" t="s">
        <v>37</v>
      </c>
    </row>
    <row r="1079" spans="2:8" s="1" customFormat="1" x14ac:dyDescent="0.15">
      <c r="B1079" s="13" t="s">
        <v>1</v>
      </c>
      <c r="C1079" s="14" t="s">
        <v>0</v>
      </c>
      <c r="D1079" s="29" t="s">
        <v>370</v>
      </c>
      <c r="E1079" s="30"/>
      <c r="F1079" s="31"/>
      <c r="G1079" s="15" t="s">
        <v>57</v>
      </c>
      <c r="H1079" s="16" t="s">
        <v>88</v>
      </c>
    </row>
    <row r="1080" spans="2:8" s="1" customFormat="1" x14ac:dyDescent="0.15">
      <c r="B1080" s="32">
        <v>300214</v>
      </c>
      <c r="C1080" s="2" t="s">
        <v>2</v>
      </c>
      <c r="D1080" s="9">
        <f>ROUND(C12*680,0)</f>
        <v>7140</v>
      </c>
      <c r="E1080" s="3" t="s">
        <v>3</v>
      </c>
      <c r="F1080" s="11">
        <f>ROUND(C12*880,0)</f>
        <v>9240</v>
      </c>
      <c r="G1080" s="4" t="s">
        <v>8</v>
      </c>
      <c r="H1080" s="17" t="s">
        <v>89</v>
      </c>
    </row>
    <row r="1081" spans="2:8" s="1" customFormat="1" ht="13.5" customHeight="1" x14ac:dyDescent="0.15">
      <c r="B1081" s="33"/>
      <c r="C1081" s="5" t="s">
        <v>4</v>
      </c>
      <c r="D1081" s="9">
        <f>ROUND(C12*880,0)</f>
        <v>9240</v>
      </c>
      <c r="E1081" s="6" t="s">
        <v>5</v>
      </c>
      <c r="F1081" s="11">
        <f>ROUND(C12*476,0)</f>
        <v>4998</v>
      </c>
      <c r="G1081" s="35">
        <v>50</v>
      </c>
      <c r="H1081" s="17"/>
    </row>
    <row r="1082" spans="2:8" s="1" customFormat="1" ht="13.5" customHeight="1" x14ac:dyDescent="0.15">
      <c r="B1082" s="33"/>
      <c r="C1082" s="7" t="s">
        <v>6</v>
      </c>
      <c r="D1082" s="10">
        <v>7</v>
      </c>
      <c r="E1082" s="8" t="s">
        <v>7</v>
      </c>
      <c r="F1082" s="12">
        <f>ROUND(C12*510,0)</f>
        <v>5355</v>
      </c>
      <c r="G1082" s="36"/>
      <c r="H1082" s="17"/>
    </row>
    <row r="1083" spans="2:8" s="1" customFormat="1" ht="14.25" thickBot="1" x14ac:dyDescent="0.2">
      <c r="B1083" s="34"/>
      <c r="C1083" s="18" t="s">
        <v>16</v>
      </c>
      <c r="D1083" s="19" t="s">
        <v>396</v>
      </c>
      <c r="E1083" s="20" t="s">
        <v>17</v>
      </c>
      <c r="F1083" s="21" t="s">
        <v>93</v>
      </c>
      <c r="G1083" s="22" t="s">
        <v>20</v>
      </c>
      <c r="H1083" s="23" t="s">
        <v>106</v>
      </c>
    </row>
    <row r="1084" spans="2:8" s="1" customFormat="1" x14ac:dyDescent="0.15">
      <c r="B1084" s="13" t="s">
        <v>1</v>
      </c>
      <c r="C1084" s="14" t="s">
        <v>0</v>
      </c>
      <c r="D1084" s="29" t="s">
        <v>373</v>
      </c>
      <c r="E1084" s="30"/>
      <c r="F1084" s="31"/>
      <c r="G1084" s="15" t="s">
        <v>57</v>
      </c>
      <c r="H1084" s="16" t="s">
        <v>116</v>
      </c>
    </row>
    <row r="1085" spans="2:8" s="1" customFormat="1" x14ac:dyDescent="0.15">
      <c r="B1085" s="32">
        <v>300215</v>
      </c>
      <c r="C1085" s="2" t="s">
        <v>2</v>
      </c>
      <c r="D1085" s="9">
        <f>ROUND(C12*680,0)</f>
        <v>7140</v>
      </c>
      <c r="E1085" s="3" t="s">
        <v>3</v>
      </c>
      <c r="F1085" s="11">
        <f>ROUND(C12*880,0)</f>
        <v>9240</v>
      </c>
      <c r="G1085" s="4" t="s">
        <v>8</v>
      </c>
      <c r="H1085" s="17" t="s">
        <v>117</v>
      </c>
    </row>
    <row r="1086" spans="2:8" s="1" customFormat="1" ht="13.5" customHeight="1" x14ac:dyDescent="0.15">
      <c r="B1086" s="33"/>
      <c r="C1086" s="5" t="s">
        <v>4</v>
      </c>
      <c r="D1086" s="9">
        <f>ROUND(C12*880,0)</f>
        <v>9240</v>
      </c>
      <c r="E1086" s="6" t="s">
        <v>5</v>
      </c>
      <c r="F1086" s="11">
        <f>ROUND(C12*476,0)</f>
        <v>4998</v>
      </c>
      <c r="G1086" s="35">
        <v>100</v>
      </c>
      <c r="H1086" s="17"/>
    </row>
    <row r="1087" spans="2:8" s="1" customFormat="1" ht="13.5" customHeight="1" x14ac:dyDescent="0.15">
      <c r="B1087" s="33"/>
      <c r="C1087" s="7" t="s">
        <v>6</v>
      </c>
      <c r="D1087" s="10">
        <v>7</v>
      </c>
      <c r="E1087" s="8" t="s">
        <v>7</v>
      </c>
      <c r="F1087" s="12">
        <f>ROUND(C12*355,0)</f>
        <v>3728</v>
      </c>
      <c r="G1087" s="36"/>
      <c r="H1087" s="17"/>
    </row>
    <row r="1088" spans="2:8" s="1" customFormat="1" ht="14.25" thickBot="1" x14ac:dyDescent="0.2">
      <c r="B1088" s="34"/>
      <c r="C1088" s="18" t="s">
        <v>16</v>
      </c>
      <c r="D1088" s="19" t="s">
        <v>45</v>
      </c>
      <c r="E1088" s="20" t="s">
        <v>17</v>
      </c>
      <c r="F1088" s="21" t="s">
        <v>48</v>
      </c>
      <c r="G1088" s="22" t="s">
        <v>20</v>
      </c>
      <c r="H1088" s="23" t="s">
        <v>37</v>
      </c>
    </row>
    <row r="1089" spans="2:8" s="1" customFormat="1" x14ac:dyDescent="0.15">
      <c r="B1089" s="13" t="s">
        <v>1</v>
      </c>
      <c r="C1089" s="14" t="s">
        <v>0</v>
      </c>
      <c r="D1089" s="29" t="s">
        <v>374</v>
      </c>
      <c r="E1089" s="30"/>
      <c r="F1089" s="31"/>
      <c r="G1089" s="15" t="s">
        <v>57</v>
      </c>
      <c r="H1089" s="16" t="s">
        <v>55</v>
      </c>
    </row>
    <row r="1090" spans="2:8" s="1" customFormat="1" x14ac:dyDescent="0.15">
      <c r="B1090" s="32">
        <v>300216</v>
      </c>
      <c r="C1090" s="2" t="s">
        <v>2</v>
      </c>
      <c r="D1090" s="9">
        <f>ROUND(C12*680,0)</f>
        <v>7140</v>
      </c>
      <c r="E1090" s="3" t="s">
        <v>3</v>
      </c>
      <c r="F1090" s="11">
        <f>ROUND(C12*880,0)</f>
        <v>9240</v>
      </c>
      <c r="G1090" s="4" t="s">
        <v>8</v>
      </c>
      <c r="H1090" s="17" t="s">
        <v>30</v>
      </c>
    </row>
    <row r="1091" spans="2:8" s="1" customFormat="1" ht="13.5" customHeight="1" x14ac:dyDescent="0.15">
      <c r="B1091" s="33"/>
      <c r="C1091" s="5" t="s">
        <v>4</v>
      </c>
      <c r="D1091" s="9">
        <f>ROUND(C12*880,0)</f>
        <v>9240</v>
      </c>
      <c r="E1091" s="6" t="s">
        <v>5</v>
      </c>
      <c r="F1091" s="11">
        <f>ROUND(C12*476,0)</f>
        <v>4998</v>
      </c>
      <c r="G1091" s="35">
        <v>100</v>
      </c>
      <c r="H1091" s="17"/>
    </row>
    <row r="1092" spans="2:8" s="1" customFormat="1" ht="13.5" customHeight="1" x14ac:dyDescent="0.15">
      <c r="B1092" s="33"/>
      <c r="C1092" s="7" t="s">
        <v>6</v>
      </c>
      <c r="D1092" s="10">
        <v>7</v>
      </c>
      <c r="E1092" s="8" t="s">
        <v>7</v>
      </c>
      <c r="F1092" s="12">
        <f>ROUND(C12*360,0)</f>
        <v>3780</v>
      </c>
      <c r="G1092" s="36"/>
      <c r="H1092" s="17"/>
    </row>
    <row r="1093" spans="2:8" s="1" customFormat="1" ht="14.25" thickBot="1" x14ac:dyDescent="0.2">
      <c r="B1093" s="34"/>
      <c r="C1093" s="18" t="s">
        <v>16</v>
      </c>
      <c r="D1093" s="19" t="s">
        <v>54</v>
      </c>
      <c r="E1093" s="20" t="s">
        <v>17</v>
      </c>
      <c r="F1093" s="21" t="s">
        <v>421</v>
      </c>
      <c r="G1093" s="22" t="s">
        <v>20</v>
      </c>
      <c r="H1093" s="23" t="s">
        <v>37</v>
      </c>
    </row>
    <row r="1094" spans="2:8" s="1" customFormat="1" x14ac:dyDescent="0.15">
      <c r="B1094" s="13" t="s">
        <v>1</v>
      </c>
      <c r="C1094" s="14" t="s">
        <v>0</v>
      </c>
      <c r="D1094" s="29" t="s">
        <v>375</v>
      </c>
      <c r="E1094" s="30"/>
      <c r="F1094" s="31"/>
      <c r="G1094" s="15" t="s">
        <v>57</v>
      </c>
      <c r="H1094" s="16" t="s">
        <v>80</v>
      </c>
    </row>
    <row r="1095" spans="2:8" s="1" customFormat="1" x14ac:dyDescent="0.15">
      <c r="B1095" s="32">
        <v>300217</v>
      </c>
      <c r="C1095" s="2" t="s">
        <v>2</v>
      </c>
      <c r="D1095" s="9">
        <f>ROUND(C12*680,0)</f>
        <v>7140</v>
      </c>
      <c r="E1095" s="3" t="s">
        <v>3</v>
      </c>
      <c r="F1095" s="11">
        <f>ROUND(C12*1936,0)</f>
        <v>20328</v>
      </c>
      <c r="G1095" s="4" t="s">
        <v>8</v>
      </c>
      <c r="H1095" s="17" t="s">
        <v>81</v>
      </c>
    </row>
    <row r="1096" spans="2:8" s="1" customFormat="1" ht="13.5" customHeight="1" x14ac:dyDescent="0.15">
      <c r="B1096" s="33"/>
      <c r="C1096" s="5" t="s">
        <v>4</v>
      </c>
      <c r="D1096" s="9">
        <f>ROUND(C12*880,0)</f>
        <v>9240</v>
      </c>
      <c r="E1096" s="6" t="s">
        <v>5</v>
      </c>
      <c r="F1096" s="11">
        <f>ROUND(C12*980,0)</f>
        <v>10290</v>
      </c>
      <c r="G1096" s="35">
        <v>100</v>
      </c>
      <c r="H1096" s="17"/>
    </row>
    <row r="1097" spans="2:8" s="1" customFormat="1" ht="13.5" customHeight="1" x14ac:dyDescent="0.15">
      <c r="B1097" s="33"/>
      <c r="C1097" s="7" t="s">
        <v>6</v>
      </c>
      <c r="D1097" s="10">
        <v>4</v>
      </c>
      <c r="E1097" s="8" t="s">
        <v>7</v>
      </c>
      <c r="F1097" s="12">
        <f>ROUND(C12*351,0)</f>
        <v>3686</v>
      </c>
      <c r="G1097" s="36"/>
      <c r="H1097" s="17"/>
    </row>
    <row r="1098" spans="2:8" s="1" customFormat="1" ht="14.25" thickBot="1" x14ac:dyDescent="0.2">
      <c r="B1098" s="34"/>
      <c r="C1098" s="18" t="s">
        <v>16</v>
      </c>
      <c r="D1098" s="19" t="s">
        <v>294</v>
      </c>
      <c r="E1098" s="20" t="s">
        <v>17</v>
      </c>
      <c r="F1098" s="21" t="s">
        <v>113</v>
      </c>
      <c r="G1098" s="22" t="s">
        <v>20</v>
      </c>
      <c r="H1098" s="23" t="s">
        <v>37</v>
      </c>
    </row>
    <row r="1099" spans="2:8" s="1" customFormat="1" x14ac:dyDescent="0.15">
      <c r="B1099" s="13" t="s">
        <v>1</v>
      </c>
      <c r="C1099" s="14" t="s">
        <v>0</v>
      </c>
      <c r="D1099" s="29" t="s">
        <v>378</v>
      </c>
      <c r="E1099" s="30"/>
      <c r="F1099" s="31"/>
      <c r="G1099" s="15" t="s">
        <v>57</v>
      </c>
      <c r="H1099" s="16" t="s">
        <v>38</v>
      </c>
    </row>
    <row r="1100" spans="2:8" s="1" customFormat="1" x14ac:dyDescent="0.15">
      <c r="B1100" s="32">
        <v>300218</v>
      </c>
      <c r="C1100" s="2" t="s">
        <v>2</v>
      </c>
      <c r="D1100" s="9">
        <f>ROUND(C12*680,0)</f>
        <v>7140</v>
      </c>
      <c r="E1100" s="3" t="s">
        <v>3</v>
      </c>
      <c r="F1100" s="11">
        <f>ROUND(C12*880,0)</f>
        <v>9240</v>
      </c>
      <c r="G1100" s="4" t="s">
        <v>8</v>
      </c>
      <c r="H1100" s="17" t="s">
        <v>24</v>
      </c>
    </row>
    <row r="1101" spans="2:8" s="1" customFormat="1" ht="13.5" customHeight="1" x14ac:dyDescent="0.15">
      <c r="B1101" s="33"/>
      <c r="C1101" s="5" t="s">
        <v>4</v>
      </c>
      <c r="D1101" s="9">
        <f>ROUND(C12*880,0)</f>
        <v>9240</v>
      </c>
      <c r="E1101" s="6" t="s">
        <v>5</v>
      </c>
      <c r="F1101" s="11">
        <f>ROUND(C12*476,0)</f>
        <v>4998</v>
      </c>
      <c r="G1101" s="35">
        <v>50</v>
      </c>
      <c r="H1101" s="17"/>
    </row>
    <row r="1102" spans="2:8" s="1" customFormat="1" ht="13.5" customHeight="1" x14ac:dyDescent="0.15">
      <c r="B1102" s="33"/>
      <c r="C1102" s="7" t="s">
        <v>6</v>
      </c>
      <c r="D1102" s="10">
        <v>7</v>
      </c>
      <c r="E1102" s="8" t="s">
        <v>7</v>
      </c>
      <c r="F1102" s="12">
        <f>ROUND(C12*475,0)</f>
        <v>4988</v>
      </c>
      <c r="G1102" s="36"/>
      <c r="H1102" s="17"/>
    </row>
    <row r="1103" spans="2:8" s="1" customFormat="1" ht="14.25" thickBot="1" x14ac:dyDescent="0.2">
      <c r="B1103" s="34"/>
      <c r="C1103" s="18" t="s">
        <v>16</v>
      </c>
      <c r="D1103" s="19" t="s">
        <v>82</v>
      </c>
      <c r="E1103" s="20" t="s">
        <v>17</v>
      </c>
      <c r="F1103" s="21" t="s">
        <v>32</v>
      </c>
      <c r="G1103" s="22" t="s">
        <v>20</v>
      </c>
      <c r="H1103" s="23" t="s">
        <v>106</v>
      </c>
    </row>
    <row r="1104" spans="2:8" s="1" customFormat="1" x14ac:dyDescent="0.15">
      <c r="B1104" s="13" t="s">
        <v>1</v>
      </c>
      <c r="C1104" s="14" t="s">
        <v>0</v>
      </c>
      <c r="D1104" s="29" t="s">
        <v>379</v>
      </c>
      <c r="E1104" s="30"/>
      <c r="F1104" s="31"/>
      <c r="G1104" s="15" t="s">
        <v>57</v>
      </c>
      <c r="H1104" s="16" t="s">
        <v>341</v>
      </c>
    </row>
    <row r="1105" spans="2:8" s="1" customFormat="1" x14ac:dyDescent="0.15">
      <c r="B1105" s="32">
        <v>300219</v>
      </c>
      <c r="C1105" s="2" t="s">
        <v>2</v>
      </c>
      <c r="D1105" s="9">
        <f>ROUND(C12*680,0)</f>
        <v>7140</v>
      </c>
      <c r="E1105" s="3" t="s">
        <v>3</v>
      </c>
      <c r="F1105" s="11">
        <f>ROUND(C12*880,0)</f>
        <v>9240</v>
      </c>
      <c r="G1105" s="4" t="s">
        <v>8</v>
      </c>
      <c r="H1105" s="17" t="s">
        <v>144</v>
      </c>
    </row>
    <row r="1106" spans="2:8" s="1" customFormat="1" ht="13.5" customHeight="1" x14ac:dyDescent="0.15">
      <c r="B1106" s="33"/>
      <c r="C1106" s="5" t="s">
        <v>4</v>
      </c>
      <c r="D1106" s="9">
        <f>ROUND(C12*880,0)</f>
        <v>9240</v>
      </c>
      <c r="E1106" s="6" t="s">
        <v>5</v>
      </c>
      <c r="F1106" s="11">
        <f>ROUND(C12*476,0)</f>
        <v>4998</v>
      </c>
      <c r="G1106" s="35">
        <v>50</v>
      </c>
      <c r="H1106" s="17"/>
    </row>
    <row r="1107" spans="2:8" s="1" customFormat="1" ht="13.5" customHeight="1" x14ac:dyDescent="0.15">
      <c r="B1107" s="33"/>
      <c r="C1107" s="7" t="s">
        <v>6</v>
      </c>
      <c r="D1107" s="10">
        <v>7</v>
      </c>
      <c r="E1107" s="8" t="s">
        <v>7</v>
      </c>
      <c r="F1107" s="12">
        <f>ROUND(C12*439,0)</f>
        <v>4610</v>
      </c>
      <c r="G1107" s="36"/>
      <c r="H1107" s="17"/>
    </row>
    <row r="1108" spans="2:8" s="1" customFormat="1" ht="14.25" thickBot="1" x14ac:dyDescent="0.2">
      <c r="B1108" s="34"/>
      <c r="C1108" s="18" t="s">
        <v>16</v>
      </c>
      <c r="D1108" s="19" t="s">
        <v>85</v>
      </c>
      <c r="E1108" s="20" t="s">
        <v>17</v>
      </c>
      <c r="F1108" s="21" t="s">
        <v>405</v>
      </c>
      <c r="G1108" s="22" t="s">
        <v>20</v>
      </c>
      <c r="H1108" s="23" t="s">
        <v>349</v>
      </c>
    </row>
    <row r="1109" spans="2:8" s="1" customFormat="1" x14ac:dyDescent="0.15">
      <c r="B1109" s="13" t="s">
        <v>1</v>
      </c>
      <c r="C1109" s="14" t="s">
        <v>0</v>
      </c>
      <c r="D1109" s="29" t="s">
        <v>381</v>
      </c>
      <c r="E1109" s="30"/>
      <c r="F1109" s="31"/>
      <c r="G1109" s="15" t="s">
        <v>57</v>
      </c>
      <c r="H1109" s="16" t="s">
        <v>74</v>
      </c>
    </row>
    <row r="1110" spans="2:8" s="1" customFormat="1" x14ac:dyDescent="0.15">
      <c r="B1110" s="32">
        <v>300220</v>
      </c>
      <c r="C1110" s="2" t="s">
        <v>2</v>
      </c>
      <c r="D1110" s="9">
        <f>ROUND(C12*680,0)</f>
        <v>7140</v>
      </c>
      <c r="E1110" s="3" t="s">
        <v>3</v>
      </c>
      <c r="F1110" s="11">
        <f>ROUND(C12*1936,0)</f>
        <v>20328</v>
      </c>
      <c r="G1110" s="4" t="s">
        <v>8</v>
      </c>
      <c r="H1110" s="17" t="s">
        <v>75</v>
      </c>
    </row>
    <row r="1111" spans="2:8" s="1" customFormat="1" ht="13.5" customHeight="1" x14ac:dyDescent="0.15">
      <c r="B1111" s="33"/>
      <c r="C1111" s="5" t="s">
        <v>4</v>
      </c>
      <c r="D1111" s="9">
        <f>ROUND(C12*880,0)</f>
        <v>9240</v>
      </c>
      <c r="E1111" s="6" t="s">
        <v>5</v>
      </c>
      <c r="F1111" s="11">
        <f>ROUND(C12*980,0)</f>
        <v>10290</v>
      </c>
      <c r="G1111" s="35">
        <v>100</v>
      </c>
      <c r="H1111" s="17"/>
    </row>
    <row r="1112" spans="2:8" s="1" customFormat="1" ht="13.5" customHeight="1" x14ac:dyDescent="0.15">
      <c r="B1112" s="33"/>
      <c r="C1112" s="7" t="s">
        <v>6</v>
      </c>
      <c r="D1112" s="10">
        <v>4</v>
      </c>
      <c r="E1112" s="8" t="s">
        <v>7</v>
      </c>
      <c r="F1112" s="12">
        <f>ROUND(C12*418,0)</f>
        <v>4389</v>
      </c>
      <c r="G1112" s="36"/>
      <c r="H1112" s="17"/>
    </row>
    <row r="1113" spans="2:8" s="1" customFormat="1" ht="14.25" thickBot="1" x14ac:dyDescent="0.2">
      <c r="B1113" s="34"/>
      <c r="C1113" s="18" t="s">
        <v>16</v>
      </c>
      <c r="D1113" s="19" t="s">
        <v>71</v>
      </c>
      <c r="E1113" s="20" t="s">
        <v>17</v>
      </c>
      <c r="F1113" s="21" t="s">
        <v>33</v>
      </c>
      <c r="G1113" s="22" t="s">
        <v>20</v>
      </c>
      <c r="H1113" s="23" t="s">
        <v>37</v>
      </c>
    </row>
    <row r="1114" spans="2:8" s="1" customFormat="1" x14ac:dyDescent="0.15">
      <c r="B1114" s="13" t="s">
        <v>1</v>
      </c>
      <c r="C1114" s="14" t="s">
        <v>0</v>
      </c>
      <c r="D1114" s="29" t="s">
        <v>383</v>
      </c>
      <c r="E1114" s="30"/>
      <c r="F1114" s="31"/>
      <c r="G1114" s="15" t="s">
        <v>57</v>
      </c>
      <c r="H1114" s="16" t="s">
        <v>134</v>
      </c>
    </row>
    <row r="1115" spans="2:8" s="1" customFormat="1" x14ac:dyDescent="0.15">
      <c r="B1115" s="32">
        <v>300221</v>
      </c>
      <c r="C1115" s="2" t="s">
        <v>2</v>
      </c>
      <c r="D1115" s="9">
        <f>ROUND(C12*680,0)</f>
        <v>7140</v>
      </c>
      <c r="E1115" s="3" t="s">
        <v>3</v>
      </c>
      <c r="F1115" s="11">
        <f>ROUND(C12*880,0)</f>
        <v>9240</v>
      </c>
      <c r="G1115" s="4" t="s">
        <v>8</v>
      </c>
      <c r="H1115" s="17" t="s">
        <v>135</v>
      </c>
    </row>
    <row r="1116" spans="2:8" s="1" customFormat="1" ht="13.5" customHeight="1" x14ac:dyDescent="0.15">
      <c r="B1116" s="33"/>
      <c r="C1116" s="5" t="s">
        <v>4</v>
      </c>
      <c r="D1116" s="9">
        <f>ROUND(C12*880,0)</f>
        <v>9240</v>
      </c>
      <c r="E1116" s="6" t="s">
        <v>5</v>
      </c>
      <c r="F1116" s="11">
        <f>ROUND(C12*476,0)</f>
        <v>4998</v>
      </c>
      <c r="G1116" s="35">
        <v>50</v>
      </c>
      <c r="H1116" s="17"/>
    </row>
    <row r="1117" spans="2:8" s="1" customFormat="1" ht="13.5" customHeight="1" x14ac:dyDescent="0.15">
      <c r="B1117" s="33"/>
      <c r="C1117" s="7" t="s">
        <v>6</v>
      </c>
      <c r="D1117" s="10">
        <v>7</v>
      </c>
      <c r="E1117" s="8" t="s">
        <v>7</v>
      </c>
      <c r="F1117" s="12">
        <f>ROUND(C12*491,0)</f>
        <v>5156</v>
      </c>
      <c r="G1117" s="36"/>
      <c r="H1117" s="17"/>
    </row>
    <row r="1118" spans="2:8" s="1" customFormat="1" ht="14.25" thickBot="1" x14ac:dyDescent="0.2">
      <c r="B1118" s="34"/>
      <c r="C1118" s="18" t="s">
        <v>16</v>
      </c>
      <c r="D1118" s="19" t="s">
        <v>113</v>
      </c>
      <c r="E1118" s="20" t="s">
        <v>17</v>
      </c>
      <c r="F1118" s="21" t="s">
        <v>100</v>
      </c>
      <c r="G1118" s="22" t="s">
        <v>20</v>
      </c>
      <c r="H1118" s="23" t="s">
        <v>125</v>
      </c>
    </row>
    <row r="1119" spans="2:8" s="1" customFormat="1" x14ac:dyDescent="0.15">
      <c r="B1119" s="13" t="s">
        <v>1</v>
      </c>
      <c r="C1119" s="14" t="s">
        <v>0</v>
      </c>
      <c r="D1119" s="29" t="s">
        <v>384</v>
      </c>
      <c r="E1119" s="30"/>
      <c r="F1119" s="31"/>
      <c r="G1119" s="15" t="s">
        <v>57</v>
      </c>
      <c r="H1119" s="16" t="s">
        <v>163</v>
      </c>
    </row>
    <row r="1120" spans="2:8" s="1" customFormat="1" x14ac:dyDescent="0.15">
      <c r="B1120" s="32">
        <v>300222</v>
      </c>
      <c r="C1120" s="2" t="s">
        <v>2</v>
      </c>
      <c r="D1120" s="9">
        <f>ROUND(C12*680,0)</f>
        <v>7140</v>
      </c>
      <c r="E1120" s="3" t="s">
        <v>3</v>
      </c>
      <c r="F1120" s="11">
        <f>ROUND(C12*880,0)</f>
        <v>9240</v>
      </c>
      <c r="G1120" s="4" t="s">
        <v>8</v>
      </c>
      <c r="H1120" s="17" t="s">
        <v>164</v>
      </c>
    </row>
    <row r="1121" spans="2:8" s="1" customFormat="1" ht="13.5" customHeight="1" x14ac:dyDescent="0.15">
      <c r="B1121" s="33"/>
      <c r="C1121" s="5" t="s">
        <v>4</v>
      </c>
      <c r="D1121" s="9">
        <f>ROUND(C12*880,0)</f>
        <v>9240</v>
      </c>
      <c r="E1121" s="6" t="s">
        <v>5</v>
      </c>
      <c r="F1121" s="11">
        <f>ROUND(C12*476,0)</f>
        <v>4998</v>
      </c>
      <c r="G1121" s="35">
        <v>50</v>
      </c>
      <c r="H1121" s="17"/>
    </row>
    <row r="1122" spans="2:8" s="1" customFormat="1" ht="13.5" customHeight="1" x14ac:dyDescent="0.15">
      <c r="B1122" s="33"/>
      <c r="C1122" s="7" t="s">
        <v>6</v>
      </c>
      <c r="D1122" s="10">
        <v>7</v>
      </c>
      <c r="E1122" s="8" t="s">
        <v>7</v>
      </c>
      <c r="F1122" s="12">
        <f>ROUND(C12*461,0)</f>
        <v>4841</v>
      </c>
      <c r="G1122" s="36"/>
      <c r="H1122" s="17"/>
    </row>
    <row r="1123" spans="2:8" s="1" customFormat="1" ht="14.25" thickBot="1" x14ac:dyDescent="0.2">
      <c r="B1123" s="34"/>
      <c r="C1123" s="18" t="s">
        <v>16</v>
      </c>
      <c r="D1123" s="19" t="s">
        <v>293</v>
      </c>
      <c r="E1123" s="20" t="s">
        <v>17</v>
      </c>
      <c r="F1123" s="21" t="s">
        <v>51</v>
      </c>
      <c r="G1123" s="22" t="s">
        <v>20</v>
      </c>
      <c r="H1123" s="23" t="s">
        <v>37</v>
      </c>
    </row>
    <row r="1124" spans="2:8" s="1" customFormat="1" x14ac:dyDescent="0.15">
      <c r="B1124" s="13" t="s">
        <v>1</v>
      </c>
      <c r="C1124" s="14" t="s">
        <v>0</v>
      </c>
      <c r="D1124" s="29" t="s">
        <v>385</v>
      </c>
      <c r="E1124" s="30"/>
      <c r="F1124" s="31"/>
      <c r="G1124" s="15" t="s">
        <v>57</v>
      </c>
      <c r="H1124" s="16" t="s">
        <v>80</v>
      </c>
    </row>
    <row r="1125" spans="2:8" s="1" customFormat="1" x14ac:dyDescent="0.15">
      <c r="B1125" s="32">
        <v>300223</v>
      </c>
      <c r="C1125" s="2" t="s">
        <v>2</v>
      </c>
      <c r="D1125" s="9">
        <f>ROUND(C12*680,0)</f>
        <v>7140</v>
      </c>
      <c r="E1125" s="3" t="s">
        <v>3</v>
      </c>
      <c r="F1125" s="11">
        <f>ROUND(C12*880,0)</f>
        <v>9240</v>
      </c>
      <c r="G1125" s="4" t="s">
        <v>8</v>
      </c>
      <c r="H1125" s="17" t="s">
        <v>81</v>
      </c>
    </row>
    <row r="1126" spans="2:8" s="1" customFormat="1" ht="13.5" customHeight="1" x14ac:dyDescent="0.15">
      <c r="B1126" s="33"/>
      <c r="C1126" s="5" t="s">
        <v>4</v>
      </c>
      <c r="D1126" s="9">
        <f>ROUND(C12*880,0)</f>
        <v>9240</v>
      </c>
      <c r="E1126" s="6" t="s">
        <v>5</v>
      </c>
      <c r="F1126" s="11">
        <f>ROUND(C12*476,0)</f>
        <v>4998</v>
      </c>
      <c r="G1126" s="35">
        <v>100</v>
      </c>
      <c r="H1126" s="17"/>
    </row>
    <row r="1127" spans="2:8" s="1" customFormat="1" ht="13.5" customHeight="1" x14ac:dyDescent="0.15">
      <c r="B1127" s="33"/>
      <c r="C1127" s="7" t="s">
        <v>6</v>
      </c>
      <c r="D1127" s="10">
        <v>7</v>
      </c>
      <c r="E1127" s="8" t="s">
        <v>7</v>
      </c>
      <c r="F1127" s="12">
        <f>ROUND(C12*380,0)</f>
        <v>3990</v>
      </c>
      <c r="G1127" s="36"/>
      <c r="H1127" s="17"/>
    </row>
    <row r="1128" spans="2:8" s="1" customFormat="1" ht="14.25" thickBot="1" x14ac:dyDescent="0.2">
      <c r="B1128" s="34"/>
      <c r="C1128" s="18" t="s">
        <v>16</v>
      </c>
      <c r="D1128" s="19" t="s">
        <v>51</v>
      </c>
      <c r="E1128" s="20" t="s">
        <v>17</v>
      </c>
      <c r="F1128" s="21" t="s">
        <v>100</v>
      </c>
      <c r="G1128" s="22" t="s">
        <v>20</v>
      </c>
      <c r="H1128" s="23" t="s">
        <v>37</v>
      </c>
    </row>
    <row r="1129" spans="2:8" s="1" customFormat="1" x14ac:dyDescent="0.15">
      <c r="B1129" s="13" t="s">
        <v>1</v>
      </c>
      <c r="C1129" s="14" t="s">
        <v>0</v>
      </c>
      <c r="D1129" s="29" t="s">
        <v>386</v>
      </c>
      <c r="E1129" s="30"/>
      <c r="F1129" s="31"/>
      <c r="G1129" s="15" t="s">
        <v>57</v>
      </c>
      <c r="H1129" s="16" t="s">
        <v>131</v>
      </c>
    </row>
    <row r="1130" spans="2:8" s="1" customFormat="1" x14ac:dyDescent="0.15">
      <c r="B1130" s="32">
        <v>300224</v>
      </c>
      <c r="C1130" s="2" t="s">
        <v>2</v>
      </c>
      <c r="D1130" s="9">
        <f>ROUND(C12*680,0)</f>
        <v>7140</v>
      </c>
      <c r="E1130" s="3" t="s">
        <v>3</v>
      </c>
      <c r="F1130" s="11">
        <f>ROUND(C12*880,0)</f>
        <v>9240</v>
      </c>
      <c r="G1130" s="4" t="s">
        <v>8</v>
      </c>
      <c r="H1130" s="17" t="s">
        <v>132</v>
      </c>
    </row>
    <row r="1131" spans="2:8" s="1" customFormat="1" ht="13.5" customHeight="1" x14ac:dyDescent="0.15">
      <c r="B1131" s="33"/>
      <c r="C1131" s="5" t="s">
        <v>4</v>
      </c>
      <c r="D1131" s="9">
        <f>ROUND(C12*880,0)</f>
        <v>9240</v>
      </c>
      <c r="E1131" s="6" t="s">
        <v>5</v>
      </c>
      <c r="F1131" s="11">
        <f>ROUND(C12*476,0)</f>
        <v>4998</v>
      </c>
      <c r="G1131" s="35">
        <v>100</v>
      </c>
      <c r="H1131" s="17"/>
    </row>
    <row r="1132" spans="2:8" s="1" customFormat="1" ht="13.5" customHeight="1" x14ac:dyDescent="0.15">
      <c r="B1132" s="33"/>
      <c r="C1132" s="7" t="s">
        <v>6</v>
      </c>
      <c r="D1132" s="10">
        <v>7</v>
      </c>
      <c r="E1132" s="8" t="s">
        <v>7</v>
      </c>
      <c r="F1132" s="12">
        <f>ROUND(C12*471,0)</f>
        <v>4946</v>
      </c>
      <c r="G1132" s="36"/>
      <c r="H1132" s="17"/>
    </row>
    <row r="1133" spans="2:8" s="1" customFormat="1" ht="14.25" thickBot="1" x14ac:dyDescent="0.2">
      <c r="B1133" s="34"/>
      <c r="C1133" s="18" t="s">
        <v>16</v>
      </c>
      <c r="D1133" s="19" t="s">
        <v>52</v>
      </c>
      <c r="E1133" s="20" t="s">
        <v>17</v>
      </c>
      <c r="F1133" s="21" t="s">
        <v>82</v>
      </c>
      <c r="G1133" s="22" t="s">
        <v>20</v>
      </c>
      <c r="H1133" s="23" t="s">
        <v>37</v>
      </c>
    </row>
    <row r="1134" spans="2:8" s="1" customFormat="1" x14ac:dyDescent="0.15">
      <c r="B1134" s="13" t="s">
        <v>1</v>
      </c>
      <c r="C1134" s="14" t="s">
        <v>0</v>
      </c>
      <c r="D1134" s="29" t="s">
        <v>387</v>
      </c>
      <c r="E1134" s="30"/>
      <c r="F1134" s="31"/>
      <c r="G1134" s="15" t="s">
        <v>57</v>
      </c>
      <c r="H1134" s="16" t="s">
        <v>91</v>
      </c>
    </row>
    <row r="1135" spans="2:8" s="1" customFormat="1" x14ac:dyDescent="0.15">
      <c r="B1135" s="32">
        <v>300228</v>
      </c>
      <c r="C1135" s="2" t="s">
        <v>2</v>
      </c>
      <c r="D1135" s="9">
        <f>ROUND(C12*680,0)</f>
        <v>7140</v>
      </c>
      <c r="E1135" s="3" t="s">
        <v>3</v>
      </c>
      <c r="F1135" s="11">
        <f>ROUND(C12*1936,0)</f>
        <v>20328</v>
      </c>
      <c r="G1135" s="4" t="s">
        <v>8</v>
      </c>
      <c r="H1135" s="17" t="s">
        <v>92</v>
      </c>
    </row>
    <row r="1136" spans="2:8" s="1" customFormat="1" ht="13.5" customHeight="1" x14ac:dyDescent="0.15">
      <c r="B1136" s="33"/>
      <c r="C1136" s="5" t="s">
        <v>4</v>
      </c>
      <c r="D1136" s="9">
        <f>ROUND(C12*880,0)</f>
        <v>9240</v>
      </c>
      <c r="E1136" s="6" t="s">
        <v>5</v>
      </c>
      <c r="F1136" s="11">
        <f>ROUND(C12*980,0)</f>
        <v>10290</v>
      </c>
      <c r="G1136" s="35">
        <v>100</v>
      </c>
      <c r="H1136" s="17"/>
    </row>
    <row r="1137" spans="2:8" s="1" customFormat="1" ht="13.5" customHeight="1" x14ac:dyDescent="0.15">
      <c r="B1137" s="33"/>
      <c r="C1137" s="7" t="s">
        <v>6</v>
      </c>
      <c r="D1137" s="10">
        <v>4</v>
      </c>
      <c r="E1137" s="8" t="s">
        <v>7</v>
      </c>
      <c r="F1137" s="12">
        <f>ROUND(C12*380,0)</f>
        <v>3990</v>
      </c>
      <c r="G1137" s="36"/>
      <c r="H1137" s="17"/>
    </row>
    <row r="1138" spans="2:8" s="1" customFormat="1" ht="14.25" thickBot="1" x14ac:dyDescent="0.2">
      <c r="B1138" s="34"/>
      <c r="C1138" s="18" t="s">
        <v>16</v>
      </c>
      <c r="D1138" s="19" t="s">
        <v>36</v>
      </c>
      <c r="E1138" s="20" t="s">
        <v>17</v>
      </c>
      <c r="F1138" s="21" t="s">
        <v>32</v>
      </c>
      <c r="G1138" s="22" t="s">
        <v>20</v>
      </c>
      <c r="H1138" s="23" t="s">
        <v>37</v>
      </c>
    </row>
    <row r="1139" spans="2:8" s="1" customFormat="1" x14ac:dyDescent="0.15">
      <c r="B1139" s="13" t="s">
        <v>1</v>
      </c>
      <c r="C1139" s="14" t="s">
        <v>0</v>
      </c>
      <c r="D1139" s="29" t="s">
        <v>388</v>
      </c>
      <c r="E1139" s="30"/>
      <c r="F1139" s="31"/>
      <c r="G1139" s="15" t="s">
        <v>57</v>
      </c>
      <c r="H1139" s="16" t="s">
        <v>41</v>
      </c>
    </row>
    <row r="1140" spans="2:8" s="1" customFormat="1" x14ac:dyDescent="0.15">
      <c r="B1140" s="32">
        <v>300229</v>
      </c>
      <c r="C1140" s="2" t="s">
        <v>2</v>
      </c>
      <c r="D1140" s="9">
        <f>ROUND(C12*680,0)</f>
        <v>7140</v>
      </c>
      <c r="E1140" s="3" t="s">
        <v>3</v>
      </c>
      <c r="F1140" s="11">
        <f>ROUND(C12*1936,0)</f>
        <v>20328</v>
      </c>
      <c r="G1140" s="4" t="s">
        <v>8</v>
      </c>
      <c r="H1140" s="17" t="s">
        <v>25</v>
      </c>
    </row>
    <row r="1141" spans="2:8" s="1" customFormat="1" ht="13.5" customHeight="1" x14ac:dyDescent="0.15">
      <c r="B1141" s="33"/>
      <c r="C1141" s="5" t="s">
        <v>4</v>
      </c>
      <c r="D1141" s="9">
        <f>ROUND(C12*880,0)</f>
        <v>9240</v>
      </c>
      <c r="E1141" s="6" t="s">
        <v>5</v>
      </c>
      <c r="F1141" s="11">
        <f>ROUND(C12*980,0)</f>
        <v>10290</v>
      </c>
      <c r="G1141" s="35">
        <v>100</v>
      </c>
      <c r="H1141" s="17"/>
    </row>
    <row r="1142" spans="2:8" s="1" customFormat="1" ht="13.5" customHeight="1" x14ac:dyDescent="0.15">
      <c r="B1142" s="33"/>
      <c r="C1142" s="7" t="s">
        <v>6</v>
      </c>
      <c r="D1142" s="10">
        <v>4</v>
      </c>
      <c r="E1142" s="8" t="s">
        <v>7</v>
      </c>
      <c r="F1142" s="12">
        <f>ROUND(C12*471,0)</f>
        <v>4946</v>
      </c>
      <c r="G1142" s="36"/>
      <c r="H1142" s="17"/>
    </row>
    <row r="1143" spans="2:8" s="1" customFormat="1" ht="14.25" thickBot="1" x14ac:dyDescent="0.2">
      <c r="B1143" s="34"/>
      <c r="C1143" s="18" t="s">
        <v>16</v>
      </c>
      <c r="D1143" s="19" t="s">
        <v>100</v>
      </c>
      <c r="E1143" s="20" t="s">
        <v>17</v>
      </c>
      <c r="F1143" s="21" t="s">
        <v>36</v>
      </c>
      <c r="G1143" s="22" t="s">
        <v>20</v>
      </c>
      <c r="H1143" s="23" t="s">
        <v>37</v>
      </c>
    </row>
  </sheetData>
  <mergeCells count="681">
    <mergeCell ref="D19:F19"/>
    <mergeCell ref="B20:B23"/>
    <mergeCell ref="G21:G22"/>
    <mergeCell ref="D24:F24"/>
    <mergeCell ref="B25:B28"/>
    <mergeCell ref="G26:G27"/>
    <mergeCell ref="D6:F6"/>
    <mergeCell ref="B7:B10"/>
    <mergeCell ref="G8:G9"/>
    <mergeCell ref="D14:F14"/>
    <mergeCell ref="B15:B18"/>
    <mergeCell ref="G16:G17"/>
    <mergeCell ref="D39:F39"/>
    <mergeCell ref="B40:B43"/>
    <mergeCell ref="G41:G42"/>
    <mergeCell ref="D44:F44"/>
    <mergeCell ref="B45:B48"/>
    <mergeCell ref="G46:G47"/>
    <mergeCell ref="D29:F29"/>
    <mergeCell ref="B30:B33"/>
    <mergeCell ref="G31:G32"/>
    <mergeCell ref="D34:F34"/>
    <mergeCell ref="B35:B38"/>
    <mergeCell ref="G36:G37"/>
    <mergeCell ref="D59:F59"/>
    <mergeCell ref="B60:B63"/>
    <mergeCell ref="G61:G62"/>
    <mergeCell ref="D64:F64"/>
    <mergeCell ref="B65:B68"/>
    <mergeCell ref="G66:G67"/>
    <mergeCell ref="D49:F49"/>
    <mergeCell ref="B50:B53"/>
    <mergeCell ref="G51:G52"/>
    <mergeCell ref="D54:F54"/>
    <mergeCell ref="B55:B58"/>
    <mergeCell ref="G56:G57"/>
    <mergeCell ref="D79:F79"/>
    <mergeCell ref="B80:B83"/>
    <mergeCell ref="G81:G82"/>
    <mergeCell ref="D84:F84"/>
    <mergeCell ref="B85:B88"/>
    <mergeCell ref="G86:G87"/>
    <mergeCell ref="D69:F69"/>
    <mergeCell ref="B70:B73"/>
    <mergeCell ref="G71:G72"/>
    <mergeCell ref="D74:F74"/>
    <mergeCell ref="B75:B78"/>
    <mergeCell ref="G76:G77"/>
    <mergeCell ref="D99:F99"/>
    <mergeCell ref="B100:B103"/>
    <mergeCell ref="G101:G102"/>
    <mergeCell ref="D104:F104"/>
    <mergeCell ref="B105:B108"/>
    <mergeCell ref="G106:G107"/>
    <mergeCell ref="D89:F89"/>
    <mergeCell ref="B90:B93"/>
    <mergeCell ref="G91:G92"/>
    <mergeCell ref="D94:F94"/>
    <mergeCell ref="B95:B98"/>
    <mergeCell ref="G96:G97"/>
    <mergeCell ref="D119:F119"/>
    <mergeCell ref="B120:B123"/>
    <mergeCell ref="G121:G122"/>
    <mergeCell ref="D124:F124"/>
    <mergeCell ref="B125:B128"/>
    <mergeCell ref="G126:G127"/>
    <mergeCell ref="D109:F109"/>
    <mergeCell ref="B110:B113"/>
    <mergeCell ref="G111:G112"/>
    <mergeCell ref="D114:F114"/>
    <mergeCell ref="B115:B118"/>
    <mergeCell ref="G116:G117"/>
    <mergeCell ref="D139:F139"/>
    <mergeCell ref="B140:B143"/>
    <mergeCell ref="G141:G142"/>
    <mergeCell ref="D144:F144"/>
    <mergeCell ref="B145:B148"/>
    <mergeCell ref="G146:G147"/>
    <mergeCell ref="D129:F129"/>
    <mergeCell ref="B130:B133"/>
    <mergeCell ref="G131:G132"/>
    <mergeCell ref="D134:F134"/>
    <mergeCell ref="B135:B138"/>
    <mergeCell ref="G136:G137"/>
    <mergeCell ref="D159:F159"/>
    <mergeCell ref="B160:B163"/>
    <mergeCell ref="G161:G162"/>
    <mergeCell ref="D164:F164"/>
    <mergeCell ref="B165:B168"/>
    <mergeCell ref="G166:G167"/>
    <mergeCell ref="D149:F149"/>
    <mergeCell ref="B150:B153"/>
    <mergeCell ref="G151:G152"/>
    <mergeCell ref="D154:F154"/>
    <mergeCell ref="B155:B158"/>
    <mergeCell ref="G156:G157"/>
    <mergeCell ref="D179:F179"/>
    <mergeCell ref="B180:B183"/>
    <mergeCell ref="G181:G182"/>
    <mergeCell ref="D184:F184"/>
    <mergeCell ref="B185:B188"/>
    <mergeCell ref="G186:G187"/>
    <mergeCell ref="D169:F169"/>
    <mergeCell ref="B170:B173"/>
    <mergeCell ref="G171:G172"/>
    <mergeCell ref="D174:F174"/>
    <mergeCell ref="B175:B178"/>
    <mergeCell ref="G176:G177"/>
    <mergeCell ref="D199:F199"/>
    <mergeCell ref="B200:B203"/>
    <mergeCell ref="G201:G202"/>
    <mergeCell ref="D204:F204"/>
    <mergeCell ref="B205:B208"/>
    <mergeCell ref="G206:G207"/>
    <mergeCell ref="D189:F189"/>
    <mergeCell ref="B190:B193"/>
    <mergeCell ref="G191:G192"/>
    <mergeCell ref="D194:F194"/>
    <mergeCell ref="B195:B198"/>
    <mergeCell ref="G196:G197"/>
    <mergeCell ref="D219:F219"/>
    <mergeCell ref="B220:B223"/>
    <mergeCell ref="G221:G222"/>
    <mergeCell ref="D224:F224"/>
    <mergeCell ref="B225:B228"/>
    <mergeCell ref="G226:G227"/>
    <mergeCell ref="D209:F209"/>
    <mergeCell ref="B210:B213"/>
    <mergeCell ref="G211:G212"/>
    <mergeCell ref="D214:F214"/>
    <mergeCell ref="B215:B218"/>
    <mergeCell ref="G216:G217"/>
    <mergeCell ref="D239:F239"/>
    <mergeCell ref="B240:B243"/>
    <mergeCell ref="G241:G242"/>
    <mergeCell ref="D244:F244"/>
    <mergeCell ref="B245:B248"/>
    <mergeCell ref="G246:G247"/>
    <mergeCell ref="D229:F229"/>
    <mergeCell ref="B230:B233"/>
    <mergeCell ref="G231:G232"/>
    <mergeCell ref="D234:F234"/>
    <mergeCell ref="B235:B238"/>
    <mergeCell ref="G236:G237"/>
    <mergeCell ref="D259:F259"/>
    <mergeCell ref="B260:B263"/>
    <mergeCell ref="G261:G262"/>
    <mergeCell ref="D264:F264"/>
    <mergeCell ref="B265:B268"/>
    <mergeCell ref="G266:G267"/>
    <mergeCell ref="D249:F249"/>
    <mergeCell ref="B250:B253"/>
    <mergeCell ref="G251:G252"/>
    <mergeCell ref="D254:F254"/>
    <mergeCell ref="B255:B258"/>
    <mergeCell ref="G256:G257"/>
    <mergeCell ref="D279:F279"/>
    <mergeCell ref="B280:B283"/>
    <mergeCell ref="G281:G282"/>
    <mergeCell ref="D284:F284"/>
    <mergeCell ref="B285:B288"/>
    <mergeCell ref="G286:G287"/>
    <mergeCell ref="D269:F269"/>
    <mergeCell ref="B270:B273"/>
    <mergeCell ref="G271:G272"/>
    <mergeCell ref="D274:F274"/>
    <mergeCell ref="B275:B278"/>
    <mergeCell ref="G276:G277"/>
    <mergeCell ref="D299:F299"/>
    <mergeCell ref="B300:B303"/>
    <mergeCell ref="G301:G302"/>
    <mergeCell ref="D304:F304"/>
    <mergeCell ref="B305:B308"/>
    <mergeCell ref="G306:G307"/>
    <mergeCell ref="D289:F289"/>
    <mergeCell ref="B290:B293"/>
    <mergeCell ref="G291:G292"/>
    <mergeCell ref="D294:F294"/>
    <mergeCell ref="B295:B298"/>
    <mergeCell ref="G296:G297"/>
    <mergeCell ref="D319:F319"/>
    <mergeCell ref="B320:B323"/>
    <mergeCell ref="G321:G322"/>
    <mergeCell ref="D324:F324"/>
    <mergeCell ref="B325:B328"/>
    <mergeCell ref="G326:G327"/>
    <mergeCell ref="D309:F309"/>
    <mergeCell ref="B310:B313"/>
    <mergeCell ref="G311:G312"/>
    <mergeCell ref="D314:F314"/>
    <mergeCell ref="B315:B318"/>
    <mergeCell ref="G316:G317"/>
    <mergeCell ref="D339:F339"/>
    <mergeCell ref="B340:B343"/>
    <mergeCell ref="G341:G342"/>
    <mergeCell ref="D344:F344"/>
    <mergeCell ref="B345:B348"/>
    <mergeCell ref="G346:G347"/>
    <mergeCell ref="D329:F329"/>
    <mergeCell ref="B330:B333"/>
    <mergeCell ref="G331:G332"/>
    <mergeCell ref="D334:F334"/>
    <mergeCell ref="B335:B338"/>
    <mergeCell ref="G336:G337"/>
    <mergeCell ref="D359:F359"/>
    <mergeCell ref="B360:B363"/>
    <mergeCell ref="G361:G362"/>
    <mergeCell ref="D364:F364"/>
    <mergeCell ref="B365:B368"/>
    <mergeCell ref="G366:G367"/>
    <mergeCell ref="D349:F349"/>
    <mergeCell ref="B350:B353"/>
    <mergeCell ref="G351:G352"/>
    <mergeCell ref="D354:F354"/>
    <mergeCell ref="B355:B358"/>
    <mergeCell ref="G356:G357"/>
    <mergeCell ref="D379:F379"/>
    <mergeCell ref="B380:B383"/>
    <mergeCell ref="G381:G382"/>
    <mergeCell ref="D384:F384"/>
    <mergeCell ref="B385:B388"/>
    <mergeCell ref="G386:G387"/>
    <mergeCell ref="D369:F369"/>
    <mergeCell ref="B370:B373"/>
    <mergeCell ref="G371:G372"/>
    <mergeCell ref="D374:F374"/>
    <mergeCell ref="B375:B378"/>
    <mergeCell ref="G376:G377"/>
    <mergeCell ref="D399:F399"/>
    <mergeCell ref="B400:B403"/>
    <mergeCell ref="G401:G402"/>
    <mergeCell ref="D404:F404"/>
    <mergeCell ref="B405:B408"/>
    <mergeCell ref="G406:G407"/>
    <mergeCell ref="D389:F389"/>
    <mergeCell ref="B390:B393"/>
    <mergeCell ref="G391:G392"/>
    <mergeCell ref="D394:F394"/>
    <mergeCell ref="B395:B398"/>
    <mergeCell ref="G396:G397"/>
    <mergeCell ref="D419:F419"/>
    <mergeCell ref="B420:B423"/>
    <mergeCell ref="G421:G422"/>
    <mergeCell ref="D424:F424"/>
    <mergeCell ref="B425:B428"/>
    <mergeCell ref="G426:G427"/>
    <mergeCell ref="D409:F409"/>
    <mergeCell ref="B410:B413"/>
    <mergeCell ref="G411:G412"/>
    <mergeCell ref="D414:F414"/>
    <mergeCell ref="B415:B418"/>
    <mergeCell ref="G416:G417"/>
    <mergeCell ref="D439:F439"/>
    <mergeCell ref="B440:B443"/>
    <mergeCell ref="G441:G442"/>
    <mergeCell ref="D444:F444"/>
    <mergeCell ref="B445:B448"/>
    <mergeCell ref="G446:G447"/>
    <mergeCell ref="D429:F429"/>
    <mergeCell ref="B430:B433"/>
    <mergeCell ref="G431:G432"/>
    <mergeCell ref="D434:F434"/>
    <mergeCell ref="B435:B438"/>
    <mergeCell ref="G436:G437"/>
    <mergeCell ref="D459:F459"/>
    <mergeCell ref="B460:B463"/>
    <mergeCell ref="G461:G462"/>
    <mergeCell ref="D464:F464"/>
    <mergeCell ref="B465:B468"/>
    <mergeCell ref="G466:G467"/>
    <mergeCell ref="D449:F449"/>
    <mergeCell ref="B450:B453"/>
    <mergeCell ref="G451:G452"/>
    <mergeCell ref="D454:F454"/>
    <mergeCell ref="B455:B458"/>
    <mergeCell ref="G456:G457"/>
    <mergeCell ref="D479:F479"/>
    <mergeCell ref="B480:B483"/>
    <mergeCell ref="G481:G482"/>
    <mergeCell ref="D484:F484"/>
    <mergeCell ref="B485:B488"/>
    <mergeCell ref="G486:G487"/>
    <mergeCell ref="D469:F469"/>
    <mergeCell ref="B470:B473"/>
    <mergeCell ref="G471:G472"/>
    <mergeCell ref="D474:F474"/>
    <mergeCell ref="B475:B478"/>
    <mergeCell ref="G476:G477"/>
    <mergeCell ref="D499:F499"/>
    <mergeCell ref="B500:B503"/>
    <mergeCell ref="G501:G502"/>
    <mergeCell ref="D504:F504"/>
    <mergeCell ref="B505:B508"/>
    <mergeCell ref="G506:G507"/>
    <mergeCell ref="D489:F489"/>
    <mergeCell ref="B490:B493"/>
    <mergeCell ref="G491:G492"/>
    <mergeCell ref="D494:F494"/>
    <mergeCell ref="B495:B498"/>
    <mergeCell ref="G496:G497"/>
    <mergeCell ref="D519:F519"/>
    <mergeCell ref="B520:B523"/>
    <mergeCell ref="G521:G522"/>
    <mergeCell ref="D524:F524"/>
    <mergeCell ref="B525:B528"/>
    <mergeCell ref="G526:G527"/>
    <mergeCell ref="D509:F509"/>
    <mergeCell ref="B510:B513"/>
    <mergeCell ref="G511:G512"/>
    <mergeCell ref="D514:F514"/>
    <mergeCell ref="B515:B518"/>
    <mergeCell ref="G516:G517"/>
    <mergeCell ref="D539:F539"/>
    <mergeCell ref="B540:B543"/>
    <mergeCell ref="G541:G542"/>
    <mergeCell ref="D544:F544"/>
    <mergeCell ref="B545:B548"/>
    <mergeCell ref="G546:G547"/>
    <mergeCell ref="D529:F529"/>
    <mergeCell ref="B530:B533"/>
    <mergeCell ref="G531:G532"/>
    <mergeCell ref="D534:F534"/>
    <mergeCell ref="B535:B538"/>
    <mergeCell ref="G536:G537"/>
    <mergeCell ref="D559:F559"/>
    <mergeCell ref="B560:B563"/>
    <mergeCell ref="G561:G562"/>
    <mergeCell ref="D564:F564"/>
    <mergeCell ref="B565:B568"/>
    <mergeCell ref="G566:G567"/>
    <mergeCell ref="D549:F549"/>
    <mergeCell ref="B550:B553"/>
    <mergeCell ref="G551:G552"/>
    <mergeCell ref="D554:F554"/>
    <mergeCell ref="B555:B558"/>
    <mergeCell ref="G556:G557"/>
    <mergeCell ref="D579:F579"/>
    <mergeCell ref="B580:B583"/>
    <mergeCell ref="G581:G582"/>
    <mergeCell ref="D584:F584"/>
    <mergeCell ref="B585:B588"/>
    <mergeCell ref="G586:G587"/>
    <mergeCell ref="D569:F569"/>
    <mergeCell ref="B570:B573"/>
    <mergeCell ref="G571:G572"/>
    <mergeCell ref="D574:F574"/>
    <mergeCell ref="B575:B578"/>
    <mergeCell ref="G576:G577"/>
    <mergeCell ref="D599:F599"/>
    <mergeCell ref="B600:B603"/>
    <mergeCell ref="G601:G602"/>
    <mergeCell ref="D604:F604"/>
    <mergeCell ref="B605:B608"/>
    <mergeCell ref="G606:G607"/>
    <mergeCell ref="D589:F589"/>
    <mergeCell ref="B590:B593"/>
    <mergeCell ref="G591:G592"/>
    <mergeCell ref="D594:F594"/>
    <mergeCell ref="B595:B598"/>
    <mergeCell ref="G596:G597"/>
    <mergeCell ref="D619:F619"/>
    <mergeCell ref="B620:B623"/>
    <mergeCell ref="G621:G622"/>
    <mergeCell ref="D624:F624"/>
    <mergeCell ref="B625:B628"/>
    <mergeCell ref="G626:G627"/>
    <mergeCell ref="D609:F609"/>
    <mergeCell ref="B610:B613"/>
    <mergeCell ref="G611:G612"/>
    <mergeCell ref="D614:F614"/>
    <mergeCell ref="B615:B618"/>
    <mergeCell ref="G616:G617"/>
    <mergeCell ref="D639:F639"/>
    <mergeCell ref="B640:B643"/>
    <mergeCell ref="G641:G642"/>
    <mergeCell ref="D644:F644"/>
    <mergeCell ref="B645:B648"/>
    <mergeCell ref="G646:G647"/>
    <mergeCell ref="D629:F629"/>
    <mergeCell ref="B630:B633"/>
    <mergeCell ref="G631:G632"/>
    <mergeCell ref="D634:F634"/>
    <mergeCell ref="B635:B638"/>
    <mergeCell ref="G636:G637"/>
    <mergeCell ref="D659:F659"/>
    <mergeCell ref="B660:B663"/>
    <mergeCell ref="G661:G662"/>
    <mergeCell ref="D664:F664"/>
    <mergeCell ref="B665:B668"/>
    <mergeCell ref="G666:G667"/>
    <mergeCell ref="D649:F649"/>
    <mergeCell ref="B650:B653"/>
    <mergeCell ref="G651:G652"/>
    <mergeCell ref="D654:F654"/>
    <mergeCell ref="B655:B658"/>
    <mergeCell ref="G656:G657"/>
    <mergeCell ref="D679:F679"/>
    <mergeCell ref="B680:B683"/>
    <mergeCell ref="G681:G682"/>
    <mergeCell ref="D684:F684"/>
    <mergeCell ref="B685:B688"/>
    <mergeCell ref="G686:G687"/>
    <mergeCell ref="D669:F669"/>
    <mergeCell ref="B670:B673"/>
    <mergeCell ref="G671:G672"/>
    <mergeCell ref="D674:F674"/>
    <mergeCell ref="B675:B678"/>
    <mergeCell ref="G676:G677"/>
    <mergeCell ref="D699:F699"/>
    <mergeCell ref="B700:B703"/>
    <mergeCell ref="G701:G702"/>
    <mergeCell ref="D704:F704"/>
    <mergeCell ref="B705:B708"/>
    <mergeCell ref="G706:G707"/>
    <mergeCell ref="D689:F689"/>
    <mergeCell ref="B690:B693"/>
    <mergeCell ref="G691:G692"/>
    <mergeCell ref="D694:F694"/>
    <mergeCell ref="B695:B698"/>
    <mergeCell ref="G696:G697"/>
    <mergeCell ref="D719:F719"/>
    <mergeCell ref="B720:B723"/>
    <mergeCell ref="G721:G722"/>
    <mergeCell ref="D724:F724"/>
    <mergeCell ref="B725:B728"/>
    <mergeCell ref="G726:G727"/>
    <mergeCell ref="D709:F709"/>
    <mergeCell ref="B710:B713"/>
    <mergeCell ref="G711:G712"/>
    <mergeCell ref="D714:F714"/>
    <mergeCell ref="B715:B718"/>
    <mergeCell ref="G716:G717"/>
    <mergeCell ref="D739:F739"/>
    <mergeCell ref="B740:B743"/>
    <mergeCell ref="G741:G742"/>
    <mergeCell ref="D744:F744"/>
    <mergeCell ref="B745:B748"/>
    <mergeCell ref="G746:G747"/>
    <mergeCell ref="D729:F729"/>
    <mergeCell ref="B730:B733"/>
    <mergeCell ref="G731:G732"/>
    <mergeCell ref="D734:F734"/>
    <mergeCell ref="B735:B738"/>
    <mergeCell ref="G736:G737"/>
    <mergeCell ref="D759:F759"/>
    <mergeCell ref="B760:B763"/>
    <mergeCell ref="G761:G762"/>
    <mergeCell ref="D764:F764"/>
    <mergeCell ref="B765:B768"/>
    <mergeCell ref="G766:G767"/>
    <mergeCell ref="D749:F749"/>
    <mergeCell ref="B750:B753"/>
    <mergeCell ref="G751:G752"/>
    <mergeCell ref="D754:F754"/>
    <mergeCell ref="B755:B758"/>
    <mergeCell ref="G756:G757"/>
    <mergeCell ref="D779:F779"/>
    <mergeCell ref="B780:B783"/>
    <mergeCell ref="G781:G782"/>
    <mergeCell ref="D784:F784"/>
    <mergeCell ref="B785:B788"/>
    <mergeCell ref="G786:G787"/>
    <mergeCell ref="D769:F769"/>
    <mergeCell ref="B770:B773"/>
    <mergeCell ref="G771:G772"/>
    <mergeCell ref="D774:F774"/>
    <mergeCell ref="B775:B778"/>
    <mergeCell ref="G776:G777"/>
    <mergeCell ref="D799:F799"/>
    <mergeCell ref="B800:B803"/>
    <mergeCell ref="G801:G802"/>
    <mergeCell ref="D804:F804"/>
    <mergeCell ref="B805:B808"/>
    <mergeCell ref="G806:G807"/>
    <mergeCell ref="D789:F789"/>
    <mergeCell ref="B790:B793"/>
    <mergeCell ref="G791:G792"/>
    <mergeCell ref="D794:F794"/>
    <mergeCell ref="B795:B798"/>
    <mergeCell ref="G796:G797"/>
    <mergeCell ref="D819:F819"/>
    <mergeCell ref="B820:B823"/>
    <mergeCell ref="G821:G822"/>
    <mergeCell ref="D824:F824"/>
    <mergeCell ref="B825:B828"/>
    <mergeCell ref="G826:G827"/>
    <mergeCell ref="D809:F809"/>
    <mergeCell ref="B810:B813"/>
    <mergeCell ref="G811:G812"/>
    <mergeCell ref="D814:F814"/>
    <mergeCell ref="B815:B818"/>
    <mergeCell ref="G816:G817"/>
    <mergeCell ref="D839:F839"/>
    <mergeCell ref="B840:B843"/>
    <mergeCell ref="G841:G842"/>
    <mergeCell ref="D844:F844"/>
    <mergeCell ref="B845:B848"/>
    <mergeCell ref="G846:G847"/>
    <mergeCell ref="D829:F829"/>
    <mergeCell ref="B830:B833"/>
    <mergeCell ref="G831:G832"/>
    <mergeCell ref="D834:F834"/>
    <mergeCell ref="B835:B838"/>
    <mergeCell ref="G836:G837"/>
    <mergeCell ref="D859:F859"/>
    <mergeCell ref="B860:B863"/>
    <mergeCell ref="G861:G862"/>
    <mergeCell ref="D864:F864"/>
    <mergeCell ref="B865:B868"/>
    <mergeCell ref="G866:G867"/>
    <mergeCell ref="D849:F849"/>
    <mergeCell ref="B850:B853"/>
    <mergeCell ref="G851:G852"/>
    <mergeCell ref="D854:F854"/>
    <mergeCell ref="B855:B858"/>
    <mergeCell ref="G856:G857"/>
    <mergeCell ref="D879:F879"/>
    <mergeCell ref="B880:B883"/>
    <mergeCell ref="G881:G882"/>
    <mergeCell ref="D884:F884"/>
    <mergeCell ref="B885:B888"/>
    <mergeCell ref="G886:G887"/>
    <mergeCell ref="D869:F869"/>
    <mergeCell ref="B870:B873"/>
    <mergeCell ref="G871:G872"/>
    <mergeCell ref="D874:F874"/>
    <mergeCell ref="B875:B878"/>
    <mergeCell ref="G876:G877"/>
    <mergeCell ref="D899:F899"/>
    <mergeCell ref="B900:B903"/>
    <mergeCell ref="G901:G902"/>
    <mergeCell ref="D904:F904"/>
    <mergeCell ref="B905:B908"/>
    <mergeCell ref="G906:G907"/>
    <mergeCell ref="D889:F889"/>
    <mergeCell ref="B890:B893"/>
    <mergeCell ref="G891:G892"/>
    <mergeCell ref="D894:F894"/>
    <mergeCell ref="B895:B898"/>
    <mergeCell ref="G896:G897"/>
    <mergeCell ref="D919:F919"/>
    <mergeCell ref="B920:B923"/>
    <mergeCell ref="G921:G922"/>
    <mergeCell ref="D924:F924"/>
    <mergeCell ref="B925:B928"/>
    <mergeCell ref="G926:G927"/>
    <mergeCell ref="D909:F909"/>
    <mergeCell ref="B910:B913"/>
    <mergeCell ref="G911:G912"/>
    <mergeCell ref="D914:F914"/>
    <mergeCell ref="B915:B918"/>
    <mergeCell ref="G916:G917"/>
    <mergeCell ref="D939:F939"/>
    <mergeCell ref="B940:B943"/>
    <mergeCell ref="G941:G942"/>
    <mergeCell ref="D944:F944"/>
    <mergeCell ref="B945:B948"/>
    <mergeCell ref="G946:G947"/>
    <mergeCell ref="D929:F929"/>
    <mergeCell ref="B930:B933"/>
    <mergeCell ref="G931:G932"/>
    <mergeCell ref="D934:F934"/>
    <mergeCell ref="B935:B938"/>
    <mergeCell ref="G936:G937"/>
    <mergeCell ref="D959:F959"/>
    <mergeCell ref="B960:B963"/>
    <mergeCell ref="G961:G962"/>
    <mergeCell ref="D964:F964"/>
    <mergeCell ref="B965:B968"/>
    <mergeCell ref="G966:G967"/>
    <mergeCell ref="D949:F949"/>
    <mergeCell ref="B950:B953"/>
    <mergeCell ref="G951:G952"/>
    <mergeCell ref="D954:F954"/>
    <mergeCell ref="B955:B958"/>
    <mergeCell ref="G956:G957"/>
    <mergeCell ref="D979:F979"/>
    <mergeCell ref="B980:B983"/>
    <mergeCell ref="G981:G982"/>
    <mergeCell ref="D984:F984"/>
    <mergeCell ref="B985:B988"/>
    <mergeCell ref="G986:G987"/>
    <mergeCell ref="D969:F969"/>
    <mergeCell ref="B970:B973"/>
    <mergeCell ref="G971:G972"/>
    <mergeCell ref="D974:F974"/>
    <mergeCell ref="B975:B978"/>
    <mergeCell ref="G976:G977"/>
    <mergeCell ref="D999:F999"/>
    <mergeCell ref="B1000:B1003"/>
    <mergeCell ref="G1001:G1002"/>
    <mergeCell ref="D1004:F1004"/>
    <mergeCell ref="B1005:B1008"/>
    <mergeCell ref="G1006:G1007"/>
    <mergeCell ref="D989:F989"/>
    <mergeCell ref="B990:B993"/>
    <mergeCell ref="G991:G992"/>
    <mergeCell ref="D994:F994"/>
    <mergeCell ref="B995:B998"/>
    <mergeCell ref="G996:G997"/>
    <mergeCell ref="D1019:F1019"/>
    <mergeCell ref="B1020:B1023"/>
    <mergeCell ref="G1021:G1022"/>
    <mergeCell ref="D1024:F1024"/>
    <mergeCell ref="B1025:B1028"/>
    <mergeCell ref="G1026:G1027"/>
    <mergeCell ref="D1009:F1009"/>
    <mergeCell ref="B1010:B1013"/>
    <mergeCell ref="G1011:G1012"/>
    <mergeCell ref="D1014:F1014"/>
    <mergeCell ref="B1015:B1018"/>
    <mergeCell ref="G1016:G1017"/>
    <mergeCell ref="D1039:F1039"/>
    <mergeCell ref="B1040:B1043"/>
    <mergeCell ref="G1041:G1042"/>
    <mergeCell ref="D1044:F1044"/>
    <mergeCell ref="B1045:B1048"/>
    <mergeCell ref="G1046:G1047"/>
    <mergeCell ref="D1029:F1029"/>
    <mergeCell ref="B1030:B1033"/>
    <mergeCell ref="G1031:G1032"/>
    <mergeCell ref="D1034:F1034"/>
    <mergeCell ref="B1035:B1038"/>
    <mergeCell ref="G1036:G1037"/>
    <mergeCell ref="D1059:F1059"/>
    <mergeCell ref="B1060:B1063"/>
    <mergeCell ref="G1061:G1062"/>
    <mergeCell ref="D1064:F1064"/>
    <mergeCell ref="B1065:B1068"/>
    <mergeCell ref="G1066:G1067"/>
    <mergeCell ref="D1049:F1049"/>
    <mergeCell ref="B1050:B1053"/>
    <mergeCell ref="G1051:G1052"/>
    <mergeCell ref="D1054:F1054"/>
    <mergeCell ref="B1055:B1058"/>
    <mergeCell ref="G1056:G1057"/>
    <mergeCell ref="D1079:F1079"/>
    <mergeCell ref="B1080:B1083"/>
    <mergeCell ref="G1081:G1082"/>
    <mergeCell ref="D1084:F1084"/>
    <mergeCell ref="B1085:B1088"/>
    <mergeCell ref="G1086:G1087"/>
    <mergeCell ref="D1069:F1069"/>
    <mergeCell ref="B1070:B1073"/>
    <mergeCell ref="G1071:G1072"/>
    <mergeCell ref="D1074:F1074"/>
    <mergeCell ref="B1075:B1078"/>
    <mergeCell ref="G1076:G1077"/>
    <mergeCell ref="D1099:F1099"/>
    <mergeCell ref="B1100:B1103"/>
    <mergeCell ref="G1101:G1102"/>
    <mergeCell ref="D1104:F1104"/>
    <mergeCell ref="B1105:B1108"/>
    <mergeCell ref="G1106:G1107"/>
    <mergeCell ref="D1089:F1089"/>
    <mergeCell ref="B1090:B1093"/>
    <mergeCell ref="G1091:G1092"/>
    <mergeCell ref="D1094:F1094"/>
    <mergeCell ref="B1095:B1098"/>
    <mergeCell ref="G1096:G1097"/>
    <mergeCell ref="D1119:F1119"/>
    <mergeCell ref="B1120:B1123"/>
    <mergeCell ref="G1121:G1122"/>
    <mergeCell ref="D1124:F1124"/>
    <mergeCell ref="B1125:B1128"/>
    <mergeCell ref="G1126:G1127"/>
    <mergeCell ref="D1109:F1109"/>
    <mergeCell ref="B1110:B1113"/>
    <mergeCell ref="G1111:G1112"/>
    <mergeCell ref="D1114:F1114"/>
    <mergeCell ref="B1115:B1118"/>
    <mergeCell ref="G1116:G1117"/>
    <mergeCell ref="D1139:F1139"/>
    <mergeCell ref="B1140:B1143"/>
    <mergeCell ref="G1141:G1142"/>
    <mergeCell ref="D1129:F1129"/>
    <mergeCell ref="B1130:B1133"/>
    <mergeCell ref="G1131:G1132"/>
    <mergeCell ref="D1134:F1134"/>
    <mergeCell ref="B1135:B1138"/>
    <mergeCell ref="G1136:G1137"/>
  </mergeCells>
  <phoneticPr fontId="11" alignment="center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32D0-5A55-F94E-A66B-CA06C251FC0B}">
  <dimension ref="A1:B8"/>
  <sheetViews>
    <sheetView zoomScaleNormal="80" zoomScaleSheetLayoutView="100" workbookViewId="0"/>
  </sheetViews>
  <sheetFormatPr defaultRowHeight="13.5" x14ac:dyDescent="0.15"/>
  <sheetData>
    <row r="1" spans="1:2" x14ac:dyDescent="0.15">
      <c r="A1" t="s">
        <v>446</v>
      </c>
      <c r="B1" s="1">
        <v>6.42</v>
      </c>
    </row>
    <row r="2" spans="1:2" x14ac:dyDescent="0.15">
      <c r="A2" t="s">
        <v>447</v>
      </c>
      <c r="B2" s="1">
        <v>2.76</v>
      </c>
    </row>
    <row r="3" spans="1:2" x14ac:dyDescent="0.15">
      <c r="A3" t="s">
        <v>448</v>
      </c>
      <c r="B3" s="1">
        <v>1.2</v>
      </c>
    </row>
    <row r="4" spans="1:2" x14ac:dyDescent="0.15">
      <c r="A4" t="s">
        <v>449</v>
      </c>
      <c r="B4" s="1">
        <v>0.96</v>
      </c>
    </row>
    <row r="5" spans="1:2" x14ac:dyDescent="0.15">
      <c r="A5" t="s">
        <v>450</v>
      </c>
      <c r="B5" s="1">
        <v>0.72</v>
      </c>
    </row>
    <row r="6" spans="1:2" x14ac:dyDescent="0.15">
      <c r="A6" t="s">
        <v>447</v>
      </c>
      <c r="B6" s="1">
        <v>10.5</v>
      </c>
    </row>
    <row r="7" spans="1:2" x14ac:dyDescent="0.15">
      <c r="A7" t="s">
        <v>448</v>
      </c>
      <c r="B7" s="1">
        <v>4.5</v>
      </c>
    </row>
    <row r="8" spans="1:2" x14ac:dyDescent="0.15">
      <c r="A8" t="s">
        <v>449</v>
      </c>
      <c r="B8" s="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日擂台</vt:lpstr>
      <vt:lpstr>周擂台1</vt:lpstr>
      <vt:lpstr>周擂台2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2024-10-18T00:11:45Z</dcterms:created>
</cp:coreProperties>
</file>